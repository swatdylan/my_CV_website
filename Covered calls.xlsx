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dylanang/Downloads/"/>
    </mc:Choice>
  </mc:AlternateContent>
  <xr:revisionPtr revIDLastSave="0" documentId="13_ncr:1_{3AF8BB7C-B518-844E-86A6-68879BC3518D}" xr6:coauthVersionLast="47" xr6:coauthVersionMax="47" xr10:uidLastSave="{00000000-0000-0000-0000-000000000000}"/>
  <bookViews>
    <workbookView xWindow="38400" yWindow="3540" windowWidth="33600" windowHeight="20500" xr2:uid="{00000000-000D-0000-FFFF-FFFF00000000}"/>
  </bookViews>
  <sheets>
    <sheet name="ITM Call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1" i="3" l="1"/>
  <c r="G571" i="3" s="1"/>
  <c r="J570" i="3"/>
  <c r="G570" i="3"/>
  <c r="K569" i="3"/>
  <c r="J568" i="3"/>
  <c r="K568" i="3" s="1"/>
  <c r="I568" i="3"/>
  <c r="F566" i="3"/>
  <c r="G566" i="3" s="1"/>
  <c r="J565" i="3"/>
  <c r="G565" i="3"/>
  <c r="K564" i="3"/>
  <c r="J563" i="3"/>
  <c r="K563" i="3" s="1"/>
  <c r="I563" i="3"/>
  <c r="F561" i="3"/>
  <c r="G561" i="3" s="1"/>
  <c r="K560" i="3"/>
  <c r="G560" i="3"/>
  <c r="K559" i="3"/>
  <c r="J558" i="3"/>
  <c r="I558" i="3"/>
  <c r="F555" i="3"/>
  <c r="G555" i="3" s="1"/>
  <c r="K554" i="3"/>
  <c r="G554" i="3"/>
  <c r="K553" i="3"/>
  <c r="J552" i="3"/>
  <c r="I552" i="3"/>
  <c r="J550" i="3"/>
  <c r="F550" i="3"/>
  <c r="G550" i="3" s="1"/>
  <c r="K549" i="3"/>
  <c r="G549" i="3"/>
  <c r="K548" i="3"/>
  <c r="K547" i="3"/>
  <c r="I547" i="3"/>
  <c r="F545" i="3"/>
  <c r="G545" i="3" s="1"/>
  <c r="J544" i="3"/>
  <c r="G544" i="3"/>
  <c r="J543" i="3"/>
  <c r="K543" i="3" s="1"/>
  <c r="J542" i="3"/>
  <c r="K542" i="3" s="1"/>
  <c r="I542" i="3"/>
  <c r="K541" i="3"/>
  <c r="I541" i="3"/>
  <c r="K540" i="3"/>
  <c r="I540" i="3"/>
  <c r="F538" i="3"/>
  <c r="G538" i="3" s="1"/>
  <c r="J537" i="3"/>
  <c r="G537" i="3"/>
  <c r="J536" i="3"/>
  <c r="K536" i="3" s="1"/>
  <c r="J535" i="3"/>
  <c r="K535" i="3" s="1"/>
  <c r="I535" i="3"/>
  <c r="K534" i="3"/>
  <c r="I534" i="3"/>
  <c r="K533" i="3"/>
  <c r="I533" i="3"/>
  <c r="J531" i="3"/>
  <c r="F531" i="3"/>
  <c r="K530" i="3"/>
  <c r="G530" i="3"/>
  <c r="K529" i="3"/>
  <c r="I529" i="3"/>
  <c r="K528" i="3"/>
  <c r="I528" i="3"/>
  <c r="K527" i="3"/>
  <c r="I527" i="3"/>
  <c r="K526" i="3"/>
  <c r="I526" i="3"/>
  <c r="F523" i="3"/>
  <c r="G523" i="3" s="1"/>
  <c r="K522" i="3"/>
  <c r="G522" i="3"/>
  <c r="K521" i="3"/>
  <c r="J520" i="3"/>
  <c r="I520" i="3"/>
  <c r="F518" i="3"/>
  <c r="G518" i="3" s="1"/>
  <c r="K517" i="3"/>
  <c r="G517" i="3"/>
  <c r="K516" i="3"/>
  <c r="J515" i="3"/>
  <c r="I515" i="3"/>
  <c r="F513" i="3"/>
  <c r="G513" i="3" s="1"/>
  <c r="K512" i="3"/>
  <c r="G512" i="3"/>
  <c r="K511" i="3"/>
  <c r="J510" i="3"/>
  <c r="I510" i="3"/>
  <c r="J507" i="3"/>
  <c r="F507" i="3"/>
  <c r="G507" i="3" s="1"/>
  <c r="K506" i="3"/>
  <c r="G506" i="3"/>
  <c r="K505" i="3"/>
  <c r="K504" i="3"/>
  <c r="I504" i="3"/>
  <c r="J501" i="3"/>
  <c r="F501" i="3"/>
  <c r="G501" i="3" s="1"/>
  <c r="K500" i="3"/>
  <c r="G500" i="3"/>
  <c r="K499" i="3"/>
  <c r="K498" i="3"/>
  <c r="I498" i="3"/>
  <c r="F494" i="3"/>
  <c r="J493" i="3"/>
  <c r="K492" i="3"/>
  <c r="J491" i="3"/>
  <c r="K491" i="3" s="1"/>
  <c r="J489" i="3"/>
  <c r="F489" i="3"/>
  <c r="G489" i="3" s="1"/>
  <c r="K488" i="3"/>
  <c r="G488" i="3"/>
  <c r="K487" i="3"/>
  <c r="K486" i="3"/>
  <c r="I486" i="3"/>
  <c r="F483" i="3"/>
  <c r="G483" i="3" s="1"/>
  <c r="J482" i="3"/>
  <c r="G482" i="3"/>
  <c r="K481" i="3"/>
  <c r="J480" i="3"/>
  <c r="K480" i="3" s="1"/>
  <c r="I480" i="3"/>
  <c r="J478" i="3"/>
  <c r="F478" i="3"/>
  <c r="G478" i="3" s="1"/>
  <c r="K477" i="3"/>
  <c r="G477" i="3"/>
  <c r="K476" i="3"/>
  <c r="K475" i="3"/>
  <c r="I475" i="3"/>
  <c r="J472" i="3"/>
  <c r="F472" i="3"/>
  <c r="G472" i="3" s="1"/>
  <c r="K471" i="3"/>
  <c r="G471" i="3"/>
  <c r="K470" i="3"/>
  <c r="K469" i="3"/>
  <c r="I469" i="3"/>
  <c r="F466" i="3"/>
  <c r="G466" i="3" s="1"/>
  <c r="K465" i="3"/>
  <c r="G465" i="3"/>
  <c r="K464" i="3"/>
  <c r="J463" i="3"/>
  <c r="I463" i="3"/>
  <c r="J460" i="3"/>
  <c r="F460" i="3"/>
  <c r="G460" i="3" s="1"/>
  <c r="K459" i="3"/>
  <c r="G459" i="3"/>
  <c r="K458" i="3"/>
  <c r="K457" i="3"/>
  <c r="I457" i="3"/>
  <c r="J454" i="3"/>
  <c r="F454" i="3"/>
  <c r="G454" i="3" s="1"/>
  <c r="K453" i="3"/>
  <c r="G453" i="3"/>
  <c r="K452" i="3"/>
  <c r="K451" i="3"/>
  <c r="I451" i="3"/>
  <c r="J449" i="3"/>
  <c r="F449" i="3"/>
  <c r="G449" i="3" s="1"/>
  <c r="K448" i="3"/>
  <c r="G448" i="3"/>
  <c r="K447" i="3"/>
  <c r="K446" i="3"/>
  <c r="I446" i="3"/>
  <c r="J444" i="3"/>
  <c r="L444" i="3" s="1"/>
  <c r="F444" i="3"/>
  <c r="G444" i="3" s="1"/>
  <c r="K443" i="3"/>
  <c r="G443" i="3"/>
  <c r="K442" i="3"/>
  <c r="K441" i="3"/>
  <c r="I441" i="3"/>
  <c r="F439" i="3"/>
  <c r="G439" i="3" s="1"/>
  <c r="J438" i="3"/>
  <c r="G438" i="3"/>
  <c r="K437" i="3"/>
  <c r="K436" i="3"/>
  <c r="I436" i="3"/>
  <c r="J434" i="3"/>
  <c r="L434" i="3" s="1"/>
  <c r="F434" i="3"/>
  <c r="G434" i="3" s="1"/>
  <c r="K433" i="3"/>
  <c r="G433" i="3"/>
  <c r="K432" i="3"/>
  <c r="K431" i="3"/>
  <c r="I431" i="3"/>
  <c r="F428" i="3"/>
  <c r="G428" i="3" s="1"/>
  <c r="K426" i="3"/>
  <c r="K425" i="3"/>
  <c r="I425" i="3"/>
  <c r="F423" i="3"/>
  <c r="J422" i="3"/>
  <c r="G422" i="3"/>
  <c r="K421" i="3"/>
  <c r="K420" i="3"/>
  <c r="J418" i="3"/>
  <c r="F418" i="3"/>
  <c r="G418" i="3" s="1"/>
  <c r="K417" i="3"/>
  <c r="G417" i="3"/>
  <c r="K416" i="3"/>
  <c r="K415" i="3"/>
  <c r="I415" i="3"/>
  <c r="J412" i="3"/>
  <c r="F412" i="3"/>
  <c r="G412" i="3" s="1"/>
  <c r="K411" i="3"/>
  <c r="G411" i="3"/>
  <c r="K410" i="3"/>
  <c r="K409" i="3"/>
  <c r="I409" i="3"/>
  <c r="J407" i="3"/>
  <c r="F407" i="3"/>
  <c r="G407" i="3" s="1"/>
  <c r="K406" i="3"/>
  <c r="G406" i="3"/>
  <c r="K405" i="3"/>
  <c r="K404" i="3"/>
  <c r="I404" i="3"/>
  <c r="J402" i="3"/>
  <c r="F402" i="3"/>
  <c r="G402" i="3" s="1"/>
  <c r="K401" i="3"/>
  <c r="G401" i="3"/>
  <c r="K400" i="3"/>
  <c r="K399" i="3"/>
  <c r="I399" i="3"/>
  <c r="J397" i="3"/>
  <c r="F397" i="3"/>
  <c r="G397" i="3" s="1"/>
  <c r="K396" i="3"/>
  <c r="G396" i="3"/>
  <c r="K395" i="3"/>
  <c r="K394" i="3"/>
  <c r="I394" i="3"/>
  <c r="J391" i="3"/>
  <c r="F391" i="3"/>
  <c r="G391" i="3" s="1"/>
  <c r="K390" i="3"/>
  <c r="G390" i="3"/>
  <c r="K389" i="3"/>
  <c r="K388" i="3"/>
  <c r="I388" i="3"/>
  <c r="F385" i="3"/>
  <c r="G385" i="3" s="1"/>
  <c r="K383" i="3"/>
  <c r="K382" i="3"/>
  <c r="I382" i="3"/>
  <c r="F380" i="3"/>
  <c r="G380" i="3" s="1"/>
  <c r="J379" i="3"/>
  <c r="G379" i="3"/>
  <c r="K378" i="3"/>
  <c r="K377" i="3"/>
  <c r="I377" i="3"/>
  <c r="J375" i="3"/>
  <c r="F375" i="3"/>
  <c r="G375" i="3" s="1"/>
  <c r="K374" i="3"/>
  <c r="G374" i="3"/>
  <c r="K373" i="3"/>
  <c r="K372" i="3"/>
  <c r="I372" i="3"/>
  <c r="J369" i="3"/>
  <c r="F369" i="3"/>
  <c r="G369" i="3" s="1"/>
  <c r="K368" i="3"/>
  <c r="G368" i="3"/>
  <c r="K367" i="3"/>
  <c r="K366" i="3"/>
  <c r="I366" i="3"/>
  <c r="F363" i="3"/>
  <c r="G363" i="3" s="1"/>
  <c r="J362" i="3"/>
  <c r="G362" i="3"/>
  <c r="K361" i="3"/>
  <c r="J360" i="3"/>
  <c r="K360" i="3" s="1"/>
  <c r="I360" i="3"/>
  <c r="J358" i="3"/>
  <c r="F358" i="3"/>
  <c r="G358" i="3" s="1"/>
  <c r="K357" i="3"/>
  <c r="G357" i="3"/>
  <c r="K356" i="3"/>
  <c r="K355" i="3"/>
  <c r="I355" i="3"/>
  <c r="J352" i="3"/>
  <c r="F352" i="3"/>
  <c r="G352" i="3" s="1"/>
  <c r="K351" i="3"/>
  <c r="G351" i="3"/>
  <c r="K350" i="3"/>
  <c r="K349" i="3"/>
  <c r="I349" i="3"/>
  <c r="J347" i="3"/>
  <c r="F347" i="3"/>
  <c r="G347" i="3" s="1"/>
  <c r="K346" i="3"/>
  <c r="G346" i="3"/>
  <c r="K345" i="3"/>
  <c r="K344" i="3"/>
  <c r="I344" i="3"/>
  <c r="J342" i="3"/>
  <c r="F342" i="3"/>
  <c r="G342" i="3" s="1"/>
  <c r="K341" i="3"/>
  <c r="G341" i="3"/>
  <c r="K340" i="3"/>
  <c r="K339" i="3"/>
  <c r="I339" i="3"/>
  <c r="F337" i="3"/>
  <c r="G337" i="3" s="1"/>
  <c r="K335" i="3"/>
  <c r="J334" i="3"/>
  <c r="K334" i="3" s="1"/>
  <c r="I334" i="3"/>
  <c r="F331" i="3"/>
  <c r="G331" i="3" s="1"/>
  <c r="K329" i="3"/>
  <c r="K328" i="3"/>
  <c r="I328" i="3"/>
  <c r="F326" i="3"/>
  <c r="G326" i="3" s="1"/>
  <c r="J325" i="3"/>
  <c r="G325" i="3"/>
  <c r="K324" i="3"/>
  <c r="I324" i="3"/>
  <c r="K323" i="3"/>
  <c r="I323" i="3"/>
  <c r="J320" i="3"/>
  <c r="F320" i="3"/>
  <c r="G320" i="3" s="1"/>
  <c r="K319" i="3"/>
  <c r="G319" i="3"/>
  <c r="K318" i="3"/>
  <c r="K317" i="3"/>
  <c r="J314" i="3"/>
  <c r="L314" i="3" s="1"/>
  <c r="F314" i="3"/>
  <c r="G314" i="3" s="1"/>
  <c r="K313" i="3"/>
  <c r="G313" i="3"/>
  <c r="K312" i="3"/>
  <c r="K311" i="3"/>
  <c r="K310" i="3"/>
  <c r="K309" i="3"/>
  <c r="J307" i="3"/>
  <c r="F307" i="3"/>
  <c r="G307" i="3" s="1"/>
  <c r="K306" i="3"/>
  <c r="G306" i="3"/>
  <c r="K305" i="3"/>
  <c r="K304" i="3"/>
  <c r="J301" i="3"/>
  <c r="L301" i="3" s="1"/>
  <c r="F301" i="3"/>
  <c r="G301" i="3" s="1"/>
  <c r="K300" i="3"/>
  <c r="G300" i="3"/>
  <c r="K299" i="3"/>
  <c r="I299" i="3"/>
  <c r="K298" i="3"/>
  <c r="K297" i="3"/>
  <c r="K296" i="3"/>
  <c r="K295" i="3"/>
  <c r="J293" i="3"/>
  <c r="L293" i="3" s="1"/>
  <c r="F293" i="3"/>
  <c r="G293" i="3" s="1"/>
  <c r="K292" i="3"/>
  <c r="G292" i="3"/>
  <c r="K291" i="3"/>
  <c r="K290" i="3"/>
  <c r="J288" i="3"/>
  <c r="F288" i="3"/>
  <c r="G288" i="3" s="1"/>
  <c r="K287" i="3"/>
  <c r="G287" i="3"/>
  <c r="K286" i="3"/>
  <c r="K285" i="3"/>
  <c r="J282" i="3"/>
  <c r="L282" i="3" s="1"/>
  <c r="F282" i="3"/>
  <c r="G282" i="3" s="1"/>
  <c r="K281" i="3"/>
  <c r="G281" i="3"/>
  <c r="K280" i="3"/>
  <c r="K279" i="3"/>
  <c r="J277" i="3"/>
  <c r="L277" i="3" s="1"/>
  <c r="F277" i="3"/>
  <c r="K276" i="3"/>
  <c r="G276" i="3"/>
  <c r="K275" i="3"/>
  <c r="K274" i="3"/>
  <c r="J271" i="3"/>
  <c r="F271" i="3"/>
  <c r="G271" i="3" s="1"/>
  <c r="K270" i="3"/>
  <c r="G270" i="3"/>
  <c r="K269" i="3"/>
  <c r="K268" i="3"/>
  <c r="F266" i="3"/>
  <c r="G266" i="3" s="1"/>
  <c r="J265" i="3"/>
  <c r="G265" i="3"/>
  <c r="K264" i="3"/>
  <c r="F262" i="3"/>
  <c r="G262" i="3" s="1"/>
  <c r="J261" i="3"/>
  <c r="G261" i="3"/>
  <c r="K260" i="3"/>
  <c r="F257" i="3"/>
  <c r="J256" i="3"/>
  <c r="K255" i="3"/>
  <c r="J253" i="3"/>
  <c r="K253" i="3" s="1"/>
  <c r="F253" i="3"/>
  <c r="G253" i="3" s="1"/>
  <c r="K252" i="3"/>
  <c r="G252" i="3"/>
  <c r="K251" i="3"/>
  <c r="J249" i="3"/>
  <c r="F249" i="3"/>
  <c r="G249" i="3" s="1"/>
  <c r="K248" i="3"/>
  <c r="G248" i="3"/>
  <c r="K247" i="3"/>
  <c r="J244" i="3"/>
  <c r="F244" i="3"/>
  <c r="K243" i="3"/>
  <c r="G243" i="3"/>
  <c r="K242" i="3"/>
  <c r="J240" i="3"/>
  <c r="K240" i="3" s="1"/>
  <c r="F240" i="3"/>
  <c r="K239" i="3"/>
  <c r="K238" i="3"/>
  <c r="J235" i="3"/>
  <c r="K235" i="3" s="1"/>
  <c r="F235" i="3"/>
  <c r="G235" i="3" s="1"/>
  <c r="K234" i="3"/>
  <c r="G234" i="3"/>
  <c r="K233" i="3"/>
  <c r="J231" i="3"/>
  <c r="K231" i="3" s="1"/>
  <c r="F231" i="3"/>
  <c r="G231" i="3" s="1"/>
  <c r="K230" i="3"/>
  <c r="G230" i="3"/>
  <c r="K229" i="3"/>
  <c r="J227" i="3"/>
  <c r="K227" i="3" s="1"/>
  <c r="F227" i="3"/>
  <c r="G227" i="3" s="1"/>
  <c r="K226" i="3"/>
  <c r="G226" i="3"/>
  <c r="K225" i="3"/>
  <c r="J222" i="3"/>
  <c r="K222" i="3" s="1"/>
  <c r="F222" i="3"/>
  <c r="G222" i="3" s="1"/>
  <c r="K221" i="3"/>
  <c r="G221" i="3"/>
  <c r="K220" i="3"/>
  <c r="J216" i="3"/>
  <c r="K216" i="3" s="1"/>
  <c r="F216" i="3"/>
  <c r="G216" i="3" s="1"/>
  <c r="K215" i="3"/>
  <c r="G215" i="3"/>
  <c r="K214" i="3"/>
  <c r="J211" i="3"/>
  <c r="K211" i="3" s="1"/>
  <c r="F211" i="3"/>
  <c r="G211" i="3" s="1"/>
  <c r="K210" i="3"/>
  <c r="G210" i="3"/>
  <c r="K209" i="3"/>
  <c r="J206" i="3"/>
  <c r="K206" i="3" s="1"/>
  <c r="F206" i="3"/>
  <c r="G206" i="3" s="1"/>
  <c r="K205" i="3"/>
  <c r="G205" i="3"/>
  <c r="K204" i="3"/>
  <c r="J201" i="3"/>
  <c r="K201" i="3" s="1"/>
  <c r="F201" i="3"/>
  <c r="G201" i="3" s="1"/>
  <c r="K200" i="3"/>
  <c r="G200" i="3"/>
  <c r="K199" i="3"/>
  <c r="J196" i="3"/>
  <c r="F196" i="3"/>
  <c r="G196" i="3" s="1"/>
  <c r="K195" i="3"/>
  <c r="G195" i="3"/>
  <c r="K194" i="3"/>
  <c r="J192" i="3"/>
  <c r="K192" i="3" s="1"/>
  <c r="F192" i="3"/>
  <c r="G192" i="3" s="1"/>
  <c r="K191" i="3"/>
  <c r="G191" i="3"/>
  <c r="K190" i="3"/>
  <c r="J187" i="3"/>
  <c r="K187" i="3" s="1"/>
  <c r="F187" i="3"/>
  <c r="G187" i="3" s="1"/>
  <c r="K186" i="3"/>
  <c r="G186" i="3"/>
  <c r="K185" i="3"/>
  <c r="F182" i="3"/>
  <c r="J181" i="3"/>
  <c r="K181" i="3" s="1"/>
  <c r="G181" i="3"/>
  <c r="J180" i="3"/>
  <c r="K180" i="3" s="1"/>
  <c r="J178" i="3"/>
  <c r="K178" i="3" s="1"/>
  <c r="F178" i="3"/>
  <c r="G178" i="3" s="1"/>
  <c r="K177" i="3"/>
  <c r="G177" i="3"/>
  <c r="K176" i="3"/>
  <c r="J173" i="3"/>
  <c r="K173" i="3" s="1"/>
  <c r="F173" i="3"/>
  <c r="G173" i="3" s="1"/>
  <c r="K172" i="3"/>
  <c r="G172" i="3"/>
  <c r="K171" i="3"/>
  <c r="J168" i="3"/>
  <c r="K168" i="3" s="1"/>
  <c r="F168" i="3"/>
  <c r="G168" i="3" s="1"/>
  <c r="K167" i="3"/>
  <c r="G167" i="3"/>
  <c r="K166" i="3"/>
  <c r="J164" i="3"/>
  <c r="K164" i="3" s="1"/>
  <c r="F164" i="3"/>
  <c r="G164" i="3" s="1"/>
  <c r="K163" i="3"/>
  <c r="G163" i="3"/>
  <c r="K162" i="3"/>
  <c r="J159" i="3"/>
  <c r="K159" i="3" s="1"/>
  <c r="F159" i="3"/>
  <c r="G159" i="3" s="1"/>
  <c r="K158" i="3"/>
  <c r="G158" i="3"/>
  <c r="K157" i="3"/>
  <c r="J155" i="3"/>
  <c r="K155" i="3" s="1"/>
  <c r="F155" i="3"/>
  <c r="G155" i="3" s="1"/>
  <c r="K154" i="3"/>
  <c r="G154" i="3"/>
  <c r="K153" i="3"/>
  <c r="J151" i="3"/>
  <c r="K151" i="3" s="1"/>
  <c r="F151" i="3"/>
  <c r="G151" i="3" s="1"/>
  <c r="K150" i="3"/>
  <c r="G150" i="3"/>
  <c r="K149" i="3"/>
  <c r="J146" i="3"/>
  <c r="K146" i="3" s="1"/>
  <c r="F146" i="3"/>
  <c r="G146" i="3" s="1"/>
  <c r="K145" i="3"/>
  <c r="G145" i="3"/>
  <c r="K144" i="3"/>
  <c r="J142" i="3"/>
  <c r="K142" i="3" s="1"/>
  <c r="F142" i="3"/>
  <c r="G142" i="3" s="1"/>
  <c r="K141" i="3"/>
  <c r="G141" i="3"/>
  <c r="K140" i="3"/>
  <c r="J137" i="3"/>
  <c r="K137" i="3" s="1"/>
  <c r="F137" i="3"/>
  <c r="G137" i="3" s="1"/>
  <c r="K136" i="3"/>
  <c r="G136" i="3"/>
  <c r="K135" i="3"/>
  <c r="J133" i="3"/>
  <c r="K133" i="3" s="1"/>
  <c r="F133" i="3"/>
  <c r="G133" i="3" s="1"/>
  <c r="K132" i="3"/>
  <c r="G132" i="3"/>
  <c r="K131" i="3"/>
  <c r="J129" i="3"/>
  <c r="K129" i="3" s="1"/>
  <c r="F129" i="3"/>
  <c r="G129" i="3" s="1"/>
  <c r="K128" i="3"/>
  <c r="G128" i="3"/>
  <c r="K127" i="3"/>
  <c r="J124" i="3"/>
  <c r="F124" i="3"/>
  <c r="G124" i="3" s="1"/>
  <c r="K123" i="3"/>
  <c r="G123" i="3"/>
  <c r="K122" i="3"/>
  <c r="J120" i="3"/>
  <c r="F120" i="3"/>
  <c r="G120" i="3" s="1"/>
  <c r="K119" i="3"/>
  <c r="G119" i="3"/>
  <c r="K118" i="3"/>
  <c r="J115" i="3"/>
  <c r="F115" i="3"/>
  <c r="G115" i="3" s="1"/>
  <c r="K114" i="3"/>
  <c r="G114" i="3"/>
  <c r="K113" i="3"/>
  <c r="J110" i="3"/>
  <c r="F110" i="3"/>
  <c r="G110" i="3" s="1"/>
  <c r="K109" i="3"/>
  <c r="G109" i="3"/>
  <c r="K108" i="3"/>
  <c r="J105" i="3"/>
  <c r="F105" i="3"/>
  <c r="G105" i="3" s="1"/>
  <c r="K104" i="3"/>
  <c r="G104" i="3"/>
  <c r="K103" i="3"/>
  <c r="J100" i="3"/>
  <c r="F100" i="3"/>
  <c r="G100" i="3" s="1"/>
  <c r="K99" i="3"/>
  <c r="G99" i="3"/>
  <c r="K98" i="3"/>
  <c r="J95" i="3"/>
  <c r="F95" i="3"/>
  <c r="G95" i="3" s="1"/>
  <c r="K94" i="3"/>
  <c r="G94" i="3"/>
  <c r="K93" i="3"/>
  <c r="J91" i="3"/>
  <c r="F91" i="3"/>
  <c r="G91" i="3" s="1"/>
  <c r="K90" i="3"/>
  <c r="G90" i="3"/>
  <c r="K89" i="3"/>
  <c r="J87" i="3"/>
  <c r="F87" i="3"/>
  <c r="G87" i="3" s="1"/>
  <c r="K86" i="3"/>
  <c r="G86" i="3"/>
  <c r="K85" i="3"/>
  <c r="J82" i="3"/>
  <c r="F82" i="3"/>
  <c r="G82" i="3" s="1"/>
  <c r="K81" i="3"/>
  <c r="G81" i="3"/>
  <c r="K80" i="3"/>
  <c r="J78" i="3"/>
  <c r="F78" i="3"/>
  <c r="K77" i="3"/>
  <c r="G77" i="3"/>
  <c r="K76" i="3"/>
  <c r="J74" i="3"/>
  <c r="F74" i="3"/>
  <c r="G74" i="3" s="1"/>
  <c r="K73" i="3"/>
  <c r="G73" i="3"/>
  <c r="K72" i="3"/>
  <c r="J70" i="3"/>
  <c r="F70" i="3"/>
  <c r="G70" i="3" s="1"/>
  <c r="K69" i="3"/>
  <c r="G69" i="3"/>
  <c r="K68" i="3"/>
  <c r="F66" i="3"/>
  <c r="G66" i="3" s="1"/>
  <c r="K64" i="3"/>
  <c r="F62" i="3"/>
  <c r="G62" i="3" s="1"/>
  <c r="J61" i="3"/>
  <c r="G61" i="3"/>
  <c r="K60" i="3"/>
  <c r="G60" i="3"/>
  <c r="J58" i="3"/>
  <c r="F58" i="3"/>
  <c r="G58" i="3" s="1"/>
  <c r="K57" i="3"/>
  <c r="G57" i="3"/>
  <c r="K56" i="3"/>
  <c r="J53" i="3"/>
  <c r="F53" i="3"/>
  <c r="G53" i="3" s="1"/>
  <c r="K52" i="3"/>
  <c r="G52" i="3"/>
  <c r="K51" i="3"/>
  <c r="K53" i="3" s="1"/>
  <c r="G51" i="3"/>
  <c r="J49" i="3"/>
  <c r="F49" i="3"/>
  <c r="G49" i="3" s="1"/>
  <c r="K48" i="3"/>
  <c r="G48" i="3"/>
  <c r="K47" i="3"/>
  <c r="G47" i="3"/>
  <c r="J45" i="3"/>
  <c r="F45" i="3"/>
  <c r="G45" i="3" s="1"/>
  <c r="K44" i="3"/>
  <c r="G44" i="3"/>
  <c r="K43" i="3"/>
  <c r="K45" i="3" s="1"/>
  <c r="G43" i="3"/>
  <c r="J41" i="3"/>
  <c r="F41" i="3"/>
  <c r="G41" i="3" s="1"/>
  <c r="K40" i="3"/>
  <c r="G40" i="3"/>
  <c r="K39" i="3"/>
  <c r="K41" i="3" s="1"/>
  <c r="G39" i="3"/>
  <c r="J36" i="3"/>
  <c r="F36" i="3"/>
  <c r="G36" i="3" s="1"/>
  <c r="K35" i="3"/>
  <c r="G35" i="3"/>
  <c r="K34" i="3"/>
  <c r="K36" i="3" s="1"/>
  <c r="G34" i="3"/>
  <c r="J32" i="3"/>
  <c r="F32" i="3"/>
  <c r="G32" i="3" s="1"/>
  <c r="K31" i="3"/>
  <c r="G31" i="3"/>
  <c r="K30" i="3"/>
  <c r="K32" i="3" s="1"/>
  <c r="G30" i="3"/>
  <c r="J28" i="3"/>
  <c r="F28" i="3"/>
  <c r="G28" i="3" s="1"/>
  <c r="K27" i="3"/>
  <c r="G27" i="3"/>
  <c r="K26" i="3"/>
  <c r="K28" i="3" s="1"/>
  <c r="G26" i="3"/>
  <c r="J24" i="3"/>
  <c r="K22" i="3"/>
  <c r="G22" i="3"/>
  <c r="F20" i="3"/>
  <c r="G20" i="3" s="1"/>
  <c r="K19" i="3"/>
  <c r="G19" i="3"/>
  <c r="K18" i="3"/>
  <c r="K20" i="3" s="1"/>
  <c r="G18" i="3"/>
  <c r="F16" i="3"/>
  <c r="G16" i="3" s="1"/>
  <c r="K15" i="3"/>
  <c r="G15" i="3"/>
  <c r="K14" i="3"/>
  <c r="K16" i="3" s="1"/>
  <c r="G14" i="3"/>
  <c r="K12" i="3"/>
  <c r="X11" i="3"/>
  <c r="U11" i="3"/>
  <c r="W11" i="3" s="1"/>
  <c r="K10" i="3"/>
  <c r="O10" i="3" s="1"/>
  <c r="G10" i="3"/>
  <c r="F7" i="3"/>
  <c r="F6" i="3"/>
  <c r="I6" i="3" s="1"/>
  <c r="F5" i="3"/>
  <c r="F4" i="3"/>
  <c r="B1" i="3"/>
  <c r="L449" i="3" l="1"/>
  <c r="K449" i="3"/>
  <c r="O449" i="3" s="1"/>
  <c r="M449" i="3" s="1"/>
  <c r="K444" i="3"/>
  <c r="O444" i="3" s="1"/>
  <c r="M444" i="3" s="1"/>
  <c r="K320" i="3"/>
  <c r="K314" i="3"/>
  <c r="O314" i="3" s="1"/>
  <c r="M314" i="3" s="1"/>
  <c r="L307" i="3"/>
  <c r="K307" i="3"/>
  <c r="K293" i="3"/>
  <c r="L288" i="3"/>
  <c r="K282" i="3"/>
  <c r="K277" i="3"/>
  <c r="K249" i="3"/>
  <c r="L460" i="3"/>
  <c r="K460" i="3"/>
  <c r="O460" i="3" s="1"/>
  <c r="M460" i="3" s="1"/>
  <c r="K434" i="3"/>
  <c r="O434" i="3" s="1"/>
  <c r="M434" i="3" s="1"/>
  <c r="L418" i="3"/>
  <c r="K418" i="3"/>
  <c r="O418" i="3" s="1"/>
  <c r="L412" i="3"/>
  <c r="K412" i="3"/>
  <c r="O412" i="3" s="1"/>
  <c r="M412" i="3" s="1"/>
  <c r="L407" i="3"/>
  <c r="K407" i="3"/>
  <c r="O407" i="3" s="1"/>
  <c r="M407" i="3" s="1"/>
  <c r="L402" i="3"/>
  <c r="K402" i="3"/>
  <c r="O402" i="3" s="1"/>
  <c r="M402" i="3" s="1"/>
  <c r="L397" i="3"/>
  <c r="K397" i="3"/>
  <c r="O397" i="3" s="1"/>
  <c r="M397" i="3" s="1"/>
  <c r="L391" i="3"/>
  <c r="K391" i="3"/>
  <c r="O391" i="3" s="1"/>
  <c r="M391" i="3" s="1"/>
  <c r="L375" i="3"/>
  <c r="K375" i="3"/>
  <c r="O375" i="3" s="1"/>
  <c r="L369" i="3"/>
  <c r="K369" i="3"/>
  <c r="O369" i="3" s="1"/>
  <c r="M369" i="3" s="1"/>
  <c r="L358" i="3"/>
  <c r="K358" i="3"/>
  <c r="O358" i="3" s="1"/>
  <c r="M358" i="3" s="1"/>
  <c r="L352" i="3"/>
  <c r="K352" i="3"/>
  <c r="O352" i="3" s="1"/>
  <c r="M352" i="3" s="1"/>
  <c r="L347" i="3"/>
  <c r="K347" i="3"/>
  <c r="O347" i="3" s="1"/>
  <c r="M347" i="3" s="1"/>
  <c r="L342" i="3"/>
  <c r="K342" i="3"/>
  <c r="O342" i="3" s="1"/>
  <c r="M342" i="3" s="1"/>
  <c r="L320" i="3"/>
  <c r="K301" i="3"/>
  <c r="O301" i="3" s="1"/>
  <c r="M301" i="3" s="1"/>
  <c r="K288" i="3"/>
  <c r="K271" i="3"/>
  <c r="K196" i="3"/>
  <c r="K124" i="3"/>
  <c r="K120" i="3"/>
  <c r="K115" i="3"/>
  <c r="K110" i="3"/>
  <c r="K105" i="3"/>
  <c r="K100" i="3"/>
  <c r="K95" i="3"/>
  <c r="K91" i="3"/>
  <c r="K87" i="3"/>
  <c r="K82" i="3"/>
  <c r="K78" i="3"/>
  <c r="K74" i="3"/>
  <c r="K70" i="3"/>
  <c r="K58" i="3"/>
  <c r="K49" i="3"/>
  <c r="M10" i="3"/>
  <c r="L550" i="3"/>
  <c r="K550" i="3"/>
  <c r="O550" i="3" s="1"/>
  <c r="M550" i="3" s="1"/>
  <c r="G494" i="3"/>
  <c r="G493" i="3"/>
  <c r="I491" i="3"/>
  <c r="G423" i="3"/>
  <c r="I420" i="3"/>
  <c r="K570" i="3"/>
  <c r="J571" i="3"/>
  <c r="J566" i="3"/>
  <c r="K565" i="3"/>
  <c r="J561" i="3"/>
  <c r="K558" i="3"/>
  <c r="K552" i="3"/>
  <c r="J555" i="3"/>
  <c r="J545" i="3"/>
  <c r="K544" i="3"/>
  <c r="J538" i="3"/>
  <c r="K537" i="3"/>
  <c r="L531" i="3"/>
  <c r="K531" i="3"/>
  <c r="O531" i="3" s="1"/>
  <c r="I536" i="3"/>
  <c r="G531" i="3"/>
  <c r="I543" i="3"/>
  <c r="J523" i="3"/>
  <c r="K520" i="3"/>
  <c r="J518" i="3"/>
  <c r="K515" i="3"/>
  <c r="K510" i="3"/>
  <c r="J513" i="3"/>
  <c r="K507" i="3"/>
  <c r="O507" i="3" s="1"/>
  <c r="M507" i="3" s="1"/>
  <c r="L507" i="3"/>
  <c r="L501" i="3"/>
  <c r="K501" i="3"/>
  <c r="O501" i="3" s="1"/>
  <c r="J494" i="3"/>
  <c r="K493" i="3"/>
  <c r="L489" i="3"/>
  <c r="K489" i="3"/>
  <c r="O489" i="3" s="1"/>
  <c r="M489" i="3" s="1"/>
  <c r="J483" i="3"/>
  <c r="K482" i="3"/>
  <c r="L478" i="3"/>
  <c r="K478" i="3"/>
  <c r="O478" i="3" s="1"/>
  <c r="M478" i="3" s="1"/>
  <c r="K472" i="3"/>
  <c r="O472" i="3" s="1"/>
  <c r="L472" i="3"/>
  <c r="K463" i="3"/>
  <c r="J466" i="3"/>
  <c r="L454" i="3"/>
  <c r="K454" i="3"/>
  <c r="O454" i="3" s="1"/>
  <c r="M454" i="3" s="1"/>
  <c r="J439" i="3"/>
  <c r="L439" i="3" s="1"/>
  <c r="K438" i="3"/>
  <c r="K439" i="3" s="1"/>
  <c r="O439" i="3" s="1"/>
  <c r="M439" i="3" s="1"/>
  <c r="J423" i="3"/>
  <c r="L423" i="3" s="1"/>
  <c r="K422" i="3"/>
  <c r="K423" i="3" s="1"/>
  <c r="O423" i="3" s="1"/>
  <c r="M423" i="3" s="1"/>
  <c r="J427" i="3"/>
  <c r="M418" i="3"/>
  <c r="J380" i="3"/>
  <c r="L380" i="3" s="1"/>
  <c r="J384" i="3"/>
  <c r="K379" i="3"/>
  <c r="K380" i="3" s="1"/>
  <c r="O380" i="3" s="1"/>
  <c r="M380" i="3" s="1"/>
  <c r="M375" i="3"/>
  <c r="J363" i="3"/>
  <c r="L363" i="3" s="1"/>
  <c r="K362" i="3"/>
  <c r="K363" i="3" s="1"/>
  <c r="O363" i="3" s="1"/>
  <c r="M363" i="3" s="1"/>
  <c r="J326" i="3"/>
  <c r="L326" i="3" s="1"/>
  <c r="J330" i="3"/>
  <c r="K325" i="3"/>
  <c r="K326" i="3" s="1"/>
  <c r="O326" i="3" s="1"/>
  <c r="M326" i="3" s="1"/>
  <c r="M320" i="3"/>
  <c r="O320" i="3"/>
  <c r="M307" i="3"/>
  <c r="O307" i="3"/>
  <c r="M293" i="3"/>
  <c r="O293" i="3"/>
  <c r="M288" i="3"/>
  <c r="O288" i="3"/>
  <c r="M282" i="3"/>
  <c r="O282" i="3"/>
  <c r="I277" i="3"/>
  <c r="G277" i="3"/>
  <c r="M277" i="3"/>
  <c r="O277" i="3"/>
  <c r="M271" i="3"/>
  <c r="O271" i="3"/>
  <c r="K265" i="3"/>
  <c r="J266" i="3"/>
  <c r="K266" i="3" s="1"/>
  <c r="K261" i="3"/>
  <c r="J262" i="3"/>
  <c r="K262" i="3" s="1"/>
  <c r="G256" i="3"/>
  <c r="G257" i="3"/>
  <c r="K256" i="3"/>
  <c r="J257" i="3"/>
  <c r="K257" i="3" s="1"/>
  <c r="M253" i="3"/>
  <c r="O253" i="3"/>
  <c r="M249" i="3"/>
  <c r="O249" i="3"/>
  <c r="G244" i="3"/>
  <c r="K244" i="3"/>
  <c r="O240" i="3"/>
  <c r="M240" i="3"/>
  <c r="G240" i="3"/>
  <c r="G239" i="3"/>
  <c r="M235" i="3"/>
  <c r="O235" i="3"/>
  <c r="M231" i="3"/>
  <c r="O231" i="3"/>
  <c r="M227" i="3"/>
  <c r="O227" i="3"/>
  <c r="M222" i="3"/>
  <c r="O222" i="3"/>
  <c r="M216" i="3"/>
  <c r="O216" i="3"/>
  <c r="M211" i="3"/>
  <c r="O211" i="3"/>
  <c r="M206" i="3"/>
  <c r="O206" i="3"/>
  <c r="M201" i="3"/>
  <c r="O201" i="3"/>
  <c r="M196" i="3"/>
  <c r="O196" i="3"/>
  <c r="M192" i="3"/>
  <c r="O192" i="3"/>
  <c r="M187" i="3"/>
  <c r="O187" i="3"/>
  <c r="G182" i="3"/>
  <c r="K182" i="3"/>
  <c r="M178" i="3"/>
  <c r="O178" i="3"/>
  <c r="M173" i="3"/>
  <c r="O173" i="3"/>
  <c r="M168" i="3"/>
  <c r="O168" i="3"/>
  <c r="M164" i="3"/>
  <c r="O164" i="3"/>
  <c r="M159" i="3"/>
  <c r="O159" i="3"/>
  <c r="M155" i="3"/>
  <c r="O155" i="3"/>
  <c r="M151" i="3"/>
  <c r="O151" i="3"/>
  <c r="M146" i="3"/>
  <c r="O146" i="3"/>
  <c r="M142" i="3"/>
  <c r="O142" i="3"/>
  <c r="O137" i="3"/>
  <c r="M137" i="3"/>
  <c r="M133" i="3"/>
  <c r="O133" i="3"/>
  <c r="M129" i="3"/>
  <c r="O129" i="3"/>
  <c r="O124" i="3"/>
  <c r="H122" i="3"/>
  <c r="M124" i="3"/>
  <c r="M120" i="3"/>
  <c r="O120" i="3"/>
  <c r="Q142" i="3" s="1"/>
  <c r="H118" i="3"/>
  <c r="M115" i="3"/>
  <c r="O115" i="3"/>
  <c r="M110" i="3"/>
  <c r="O110" i="3"/>
  <c r="M105" i="3"/>
  <c r="O105" i="3"/>
  <c r="Q115" i="3" s="1"/>
  <c r="M100" i="3"/>
  <c r="O100" i="3"/>
  <c r="M95" i="3"/>
  <c r="O95" i="3"/>
  <c r="M91" i="3"/>
  <c r="O91" i="3"/>
  <c r="M87" i="3"/>
  <c r="O87" i="3"/>
  <c r="M82" i="3"/>
  <c r="O82" i="3"/>
  <c r="M78" i="3"/>
  <c r="O78" i="3"/>
  <c r="G78" i="3"/>
  <c r="H78" i="3"/>
  <c r="M74" i="3"/>
  <c r="O74" i="3"/>
  <c r="M70" i="3"/>
  <c r="O70" i="3"/>
  <c r="J65" i="3"/>
  <c r="J62" i="3"/>
  <c r="K62" i="3" s="1"/>
  <c r="K61" i="3"/>
  <c r="M58" i="3"/>
  <c r="O58" i="3"/>
  <c r="M53" i="3"/>
  <c r="O53" i="3"/>
  <c r="O49" i="3"/>
  <c r="M49" i="3"/>
  <c r="M45" i="3"/>
  <c r="O45" i="3"/>
  <c r="O41" i="3"/>
  <c r="B38" i="3" s="1"/>
  <c r="M41" i="3"/>
  <c r="M36" i="3"/>
  <c r="O36" i="3"/>
  <c r="O32" i="3"/>
  <c r="M32" i="3"/>
  <c r="O28" i="3"/>
  <c r="M28" i="3"/>
  <c r="M20" i="3"/>
  <c r="O20" i="3"/>
  <c r="O16" i="3"/>
  <c r="M16" i="3"/>
  <c r="O12" i="3"/>
  <c r="M12" i="3"/>
  <c r="I7" i="3"/>
  <c r="F23" i="3" s="1"/>
  <c r="I22" i="3"/>
  <c r="I5" i="3"/>
  <c r="I12" i="3"/>
  <c r="I10" i="3"/>
  <c r="I14" i="3"/>
  <c r="I4" i="3"/>
  <c r="X13" i="3"/>
  <c r="K571" i="3" l="1"/>
  <c r="O571" i="3" s="1"/>
  <c r="M571" i="3" s="1"/>
  <c r="L571" i="3"/>
  <c r="K566" i="3"/>
  <c r="O566" i="3" s="1"/>
  <c r="M566" i="3" s="1"/>
  <c r="L566" i="3"/>
  <c r="L561" i="3"/>
  <c r="K561" i="3"/>
  <c r="O561" i="3" s="1"/>
  <c r="K555" i="3"/>
  <c r="O555" i="3" s="1"/>
  <c r="M555" i="3" s="1"/>
  <c r="L555" i="3"/>
  <c r="K545" i="3"/>
  <c r="O545" i="3" s="1"/>
  <c r="M545" i="3" s="1"/>
  <c r="L545" i="3"/>
  <c r="K538" i="3"/>
  <c r="O538" i="3" s="1"/>
  <c r="M538" i="3" s="1"/>
  <c r="L538" i="3"/>
  <c r="Q555" i="3"/>
  <c r="R555" i="3" s="1"/>
  <c r="M531" i="3"/>
  <c r="K523" i="3"/>
  <c r="O523" i="3" s="1"/>
  <c r="M523" i="3" s="1"/>
  <c r="L523" i="3"/>
  <c r="K518" i="3"/>
  <c r="O518" i="3" s="1"/>
  <c r="M518" i="3" s="1"/>
  <c r="L518" i="3"/>
  <c r="K513" i="3"/>
  <c r="O513" i="3" s="1"/>
  <c r="L513" i="3"/>
  <c r="M501" i="3"/>
  <c r="K494" i="3"/>
  <c r="O494" i="3" s="1"/>
  <c r="M494" i="3" s="1"/>
  <c r="L494" i="3"/>
  <c r="K483" i="3"/>
  <c r="O483" i="3" s="1"/>
  <c r="M483" i="3" s="1"/>
  <c r="L483" i="3"/>
  <c r="Q494" i="3"/>
  <c r="R494" i="3" s="1"/>
  <c r="M472" i="3"/>
  <c r="K466" i="3"/>
  <c r="O466" i="3" s="1"/>
  <c r="M466" i="3" s="1"/>
  <c r="L466" i="3"/>
  <c r="K427" i="3"/>
  <c r="K428" i="3" s="1"/>
  <c r="O428" i="3" s="1"/>
  <c r="J428" i="3"/>
  <c r="L428" i="3" s="1"/>
  <c r="G427" i="3"/>
  <c r="K384" i="3"/>
  <c r="K385" i="3" s="1"/>
  <c r="O385" i="3" s="1"/>
  <c r="J385" i="3"/>
  <c r="L385" i="3" s="1"/>
  <c r="G384" i="3"/>
  <c r="K330" i="3"/>
  <c r="K331" i="3" s="1"/>
  <c r="O331" i="3" s="1"/>
  <c r="J331" i="3"/>
  <c r="L331" i="3" s="1"/>
  <c r="J336" i="3"/>
  <c r="G330" i="3"/>
  <c r="M266" i="3"/>
  <c r="O266" i="3"/>
  <c r="M262" i="3"/>
  <c r="O262" i="3"/>
  <c r="Q271" i="3" s="1"/>
  <c r="M257" i="3"/>
  <c r="O257" i="3"/>
  <c r="M244" i="3"/>
  <c r="O244" i="3"/>
  <c r="Q257" i="3" s="1"/>
  <c r="M182" i="3"/>
  <c r="O182" i="3"/>
  <c r="Q187" i="3" s="1"/>
  <c r="K65" i="3"/>
  <c r="J66" i="3"/>
  <c r="K66" i="3" s="1"/>
  <c r="G65" i="3"/>
  <c r="M62" i="3"/>
  <c r="O62" i="3"/>
  <c r="K23" i="3"/>
  <c r="K24" i="3" s="1"/>
  <c r="F24" i="3"/>
  <c r="Q211" i="3"/>
  <c r="M513" i="3" l="1"/>
  <c r="Q523" i="3"/>
  <c r="R523" i="3" s="1"/>
  <c r="Q571" i="3"/>
  <c r="R571" i="3" s="1"/>
  <c r="M561" i="3"/>
  <c r="Q466" i="3"/>
  <c r="R466" i="3" s="1"/>
  <c r="M428" i="3"/>
  <c r="Q412" i="3"/>
  <c r="R412" i="3" s="1"/>
  <c r="M385" i="3"/>
  <c r="Q331" i="3"/>
  <c r="M331" i="3"/>
  <c r="K336" i="3"/>
  <c r="K337" i="3" s="1"/>
  <c r="O337" i="3" s="1"/>
  <c r="J337" i="3"/>
  <c r="L337" i="3" s="1"/>
  <c r="G336" i="3"/>
  <c r="M66" i="3"/>
  <c r="O66" i="3"/>
  <c r="Q100" i="3"/>
  <c r="B55" i="3"/>
  <c r="M24" i="3"/>
  <c r="O24" i="3"/>
  <c r="Q24" i="3" s="1"/>
  <c r="G23" i="3"/>
  <c r="G24" i="3"/>
  <c r="Q369" i="3" l="1"/>
  <c r="R369" i="3" s="1"/>
  <c r="M2" i="3"/>
  <c r="O2" i="3" s="1"/>
  <c r="P2" i="3" s="1"/>
  <c r="M337" i="3"/>
</calcChain>
</file>

<file path=xl/sharedStrings.xml><?xml version="1.0" encoding="utf-8"?>
<sst xmlns="http://schemas.openxmlformats.org/spreadsheetml/2006/main" count="637" uniqueCount="150">
  <si>
    <t>Total</t>
  </si>
  <si>
    <t>Account size</t>
  </si>
  <si>
    <t>YTD P/L</t>
  </si>
  <si>
    <t>Comm</t>
  </si>
  <si>
    <t>%Aft Comm</t>
  </si>
  <si>
    <t>Annualised</t>
  </si>
  <si>
    <t>TQQQ</t>
  </si>
  <si>
    <t>Date</t>
  </si>
  <si>
    <t>Broker</t>
  </si>
  <si>
    <t>QTY</t>
  </si>
  <si>
    <t>Type</t>
  </si>
  <si>
    <t>Expiry</t>
  </si>
  <si>
    <t>Trade Price</t>
  </si>
  <si>
    <t>Intrisic Value</t>
  </si>
  <si>
    <t>Extrinsic Value</t>
  </si>
  <si>
    <t>Adj. Basis</t>
  </si>
  <si>
    <t>Exit price</t>
  </si>
  <si>
    <t>Total P/L (after fees)</t>
  </si>
  <si>
    <t>ROC</t>
  </si>
  <si>
    <t>IBKR</t>
  </si>
  <si>
    <t>Webull</t>
  </si>
  <si>
    <t/>
  </si>
  <si>
    <t>Schwab</t>
  </si>
  <si>
    <t>Sell $58 OTM Calls</t>
  </si>
  <si>
    <t>TQQQ price now</t>
  </si>
  <si>
    <t>how many calls?</t>
  </si>
  <si>
    <t>cost needed</t>
  </si>
  <si>
    <t>2 trades/ month</t>
  </si>
  <si>
    <t>$/trade</t>
  </si>
  <si>
    <t>Sell $49 OTM Calls</t>
  </si>
  <si>
    <t>Sell $37 ITM Calls</t>
  </si>
  <si>
    <t>100 TQQQ</t>
  </si>
  <si>
    <t>Breakeven</t>
  </si>
  <si>
    <t>Sell $45 OTM Calls</t>
  </si>
  <si>
    <t>Sell 3 $49 ITM Calls</t>
  </si>
  <si>
    <t>300 TQQQ</t>
  </si>
  <si>
    <t>Sell $52 ITM Calls</t>
  </si>
  <si>
    <t>Sell 3 $55 ITM Calls</t>
  </si>
  <si>
    <t>Sell 1 $51 ITM Calls</t>
  </si>
  <si>
    <t>Week</t>
  </si>
  <si>
    <t>Sell 4 $61.5 ITM Calls</t>
  </si>
  <si>
    <t>400 TQQQ</t>
  </si>
  <si>
    <t>Sell 1 $67 OTM Calls</t>
  </si>
  <si>
    <t>OTM</t>
  </si>
  <si>
    <t>Sell 1 $70 OTM Calls</t>
  </si>
  <si>
    <t>called away @ $70</t>
  </si>
  <si>
    <t>Sell 1 $41 OTM Calls</t>
  </si>
  <si>
    <t>20 UGL</t>
  </si>
  <si>
    <t>CS</t>
  </si>
  <si>
    <t>Sell 1 $49.5 ITM Calls</t>
  </si>
  <si>
    <t>Bad fill do not use market order</t>
  </si>
  <si>
    <t>ITM</t>
  </si>
  <si>
    <t>Sell 1 $53 ITM Calls</t>
  </si>
  <si>
    <t>Sell 1 $58 ITM Calls</t>
  </si>
  <si>
    <t>WEBULL</t>
  </si>
  <si>
    <t>Sell 1 $67 ITM Calls</t>
  </si>
  <si>
    <t>Sell 1 $72 OTM Calls</t>
  </si>
  <si>
    <t>breached BE, option not exercised, shares kept</t>
  </si>
  <si>
    <t>Sell 1 $74 OTM Calls</t>
  </si>
  <si>
    <t>Sell 1 $68 ITM Calls</t>
  </si>
  <si>
    <t>Sell 1 $129 Calls</t>
  </si>
  <si>
    <t>100 UGL</t>
  </si>
  <si>
    <t>ATM</t>
  </si>
  <si>
    <t>Sell 1 $59 OTM Calls</t>
  </si>
  <si>
    <t>Sell 1 $71 OTM Calls</t>
  </si>
  <si>
    <t>5 days</t>
  </si>
  <si>
    <t>Sell 1 $64 OTM Calls</t>
  </si>
  <si>
    <t>10 days</t>
  </si>
  <si>
    <t>Sell 1 $69 OTM Calls</t>
  </si>
  <si>
    <t>7 days</t>
  </si>
  <si>
    <t>Sell 1 $73 OTM Calls</t>
  </si>
  <si>
    <t>Sell 1 $77 OTM Calls</t>
  </si>
  <si>
    <t>Sell 1 $76 OTM Calls</t>
  </si>
  <si>
    <t>Sell 1 $75.5 OTM Calls</t>
  </si>
  <si>
    <t>Sell 1 $79 OTM Calls</t>
  </si>
  <si>
    <t>Sell 1 $78.5 OTM Calls</t>
  </si>
  <si>
    <t>Sell 1 $75 OTM Calls</t>
  </si>
  <si>
    <t>Sell 1 $80.5 OTM Calls</t>
  </si>
  <si>
    <t>Sell 1 $82 OTM Calls</t>
  </si>
  <si>
    <t>Sell 1 $84 OTM Calls</t>
  </si>
  <si>
    <t>Sell 2 $80 OTM Calls</t>
  </si>
  <si>
    <t>Sell 2 $83 OTM Calls</t>
  </si>
  <si>
    <t>Sell 2 $88 OTM Calls</t>
  </si>
  <si>
    <t>Sell 2 $91.5 OTM Calls</t>
  </si>
  <si>
    <t>Sell 2 $92 OTM Calls</t>
  </si>
  <si>
    <t>Sell 2 $107 OTM Calls</t>
  </si>
  <si>
    <t>Sell $110 OTM Calls</t>
  </si>
  <si>
    <t>Sell $108 OTM Calls</t>
  </si>
  <si>
    <t>Sell $107 OTM Calls</t>
  </si>
  <si>
    <t>Sell $94.5 OTM Calls</t>
  </si>
  <si>
    <t>Sell $42.5 OTM Calls</t>
  </si>
  <si>
    <t>BITX</t>
  </si>
  <si>
    <t>$102 OTM Calls</t>
  </si>
  <si>
    <t>$101.5 OTM Calls</t>
  </si>
  <si>
    <t>$111 OTM Calls</t>
  </si>
  <si>
    <t>$49 ITM Calls</t>
  </si>
  <si>
    <t>100 BITX</t>
  </si>
  <si>
    <t>roll</t>
  </si>
  <si>
    <t>$40 ITM Calls</t>
  </si>
  <si>
    <t>$49 ITM Calls 1</t>
  </si>
  <si>
    <t>$49 ITM Calls 2</t>
  </si>
  <si>
    <t>$54.75 ITM Calls 1</t>
  </si>
  <si>
    <t>$54.5 ITM Calls 1</t>
  </si>
  <si>
    <t>$52 ITM Calls 1</t>
  </si>
  <si>
    <t>below g flip</t>
  </si>
  <si>
    <t>$113 ITM Calls 1</t>
  </si>
  <si>
    <t>&lt; max pain &amp; call wall</t>
  </si>
  <si>
    <t>100 UPRO</t>
  </si>
  <si>
    <t>55 ITM Calls 1 (&lt; max pain &amp; call wall)</t>
  </si>
  <si>
    <t>55.5 Calls</t>
  </si>
  <si>
    <t>49 ITM Calls 1 (&lt; max pain &amp; call wall)</t>
  </si>
  <si>
    <t>71 OTM Calls</t>
  </si>
  <si>
    <t>100 KO</t>
  </si>
  <si>
    <t>52 ITM Calls 1 (&lt; max pain &amp; call wall)</t>
  </si>
  <si>
    <t>52 Calls</t>
  </si>
  <si>
    <t>50 ITM Calls (&lt; max pain &amp; call wall)</t>
  </si>
  <si>
    <t>50 ITM Calls</t>
  </si>
  <si>
    <t>49 ITM Calls</t>
  </si>
  <si>
    <t>48 ITM Calls</t>
  </si>
  <si>
    <t>KO</t>
  </si>
  <si>
    <t>47 ITM Calls</t>
  </si>
  <si>
    <t>44 ITM Calls</t>
  </si>
  <si>
    <t>WEEK</t>
  </si>
  <si>
    <t>42 ITM Calls</t>
  </si>
  <si>
    <t>46 Puts</t>
  </si>
  <si>
    <t>Puts</t>
  </si>
  <si>
    <t>41 ITM Calls</t>
  </si>
  <si>
    <t>39.5 ITM Calls</t>
  </si>
  <si>
    <t>40 ITM Calls</t>
  </si>
  <si>
    <t>39 ITM Calls</t>
  </si>
  <si>
    <t>37 ITM Calls</t>
  </si>
  <si>
    <t>34 ITM Calls</t>
  </si>
  <si>
    <t>week</t>
  </si>
  <si>
    <t>35.5 ITM Calls</t>
  </si>
  <si>
    <t>51 ITM Calls</t>
  </si>
  <si>
    <t>55 ITM Calls</t>
  </si>
  <si>
    <t>56 ITM Calls</t>
  </si>
  <si>
    <t>59 ITM Calls</t>
  </si>
  <si>
    <t>64 ITM Calls</t>
  </si>
  <si>
    <t>68 ITM Calls</t>
  </si>
  <si>
    <t>66 ITM Calls</t>
  </si>
  <si>
    <t>80 ITM Calls</t>
  </si>
  <si>
    <t>80 Calls</t>
  </si>
  <si>
    <t>78.5 Calls</t>
  </si>
  <si>
    <t>78 Calls</t>
  </si>
  <si>
    <t>79 ITM Calls</t>
  </si>
  <si>
    <t>73 ITM Calls</t>
  </si>
  <si>
    <t>66.5 ITM Calls</t>
  </si>
  <si>
    <t>66ITM Calls</t>
  </si>
  <si>
    <t>65 ITM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</si>
</sst>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5" formatCode="[$$]#,##0.00"/>
    <numFmt numFmtId="168" formatCode="d&quot; &quot;mmm&quot; &quot;yyyy"/>
    <numFmt numFmtId="169" formatCode="mmm\ yyyy"/>
    <numFmt numFmtId="170" formatCode="d\ mmm\ yyyy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  <scheme val="minor"/>
    </font>
    <font>
      <sz val="10"/>
      <color rgb="FFFF99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5" borderId="0" xfId="0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168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8" fontId="2" fillId="2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168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8" fontId="2" fillId="6" borderId="0" xfId="0" applyNumberFormat="1" applyFont="1" applyFill="1" applyAlignment="1">
      <alignment horizontal="center"/>
    </xf>
    <xf numFmtId="165" fontId="2" fillId="6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/>
    </xf>
    <xf numFmtId="0" fontId="2" fillId="6" borderId="0" xfId="0" applyFont="1" applyFill="1"/>
    <xf numFmtId="0" fontId="1" fillId="6" borderId="0" xfId="0" applyFont="1" applyFill="1" applyAlignment="1">
      <alignment horizontal="center"/>
    </xf>
    <xf numFmtId="165" fontId="1" fillId="6" borderId="1" xfId="0" applyNumberFormat="1" applyFont="1" applyFill="1" applyBorder="1" applyAlignment="1">
      <alignment horizontal="center"/>
    </xf>
    <xf numFmtId="169" fontId="2" fillId="6" borderId="0" xfId="0" applyNumberFormat="1" applyFont="1" applyFill="1" applyAlignment="1">
      <alignment horizontal="center"/>
    </xf>
    <xf numFmtId="168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8" fontId="2" fillId="7" borderId="0" xfId="0" applyNumberFormat="1" applyFont="1" applyFill="1" applyAlignment="1">
      <alignment horizontal="center"/>
    </xf>
    <xf numFmtId="10" fontId="2" fillId="7" borderId="0" xfId="0" applyNumberFormat="1" applyFont="1" applyFill="1" applyAlignment="1">
      <alignment horizontal="center"/>
    </xf>
    <xf numFmtId="165" fontId="2" fillId="7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165" fontId="1" fillId="7" borderId="1" xfId="0" applyNumberFormat="1" applyFont="1" applyFill="1" applyBorder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8" fontId="3" fillId="8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168" fontId="3" fillId="8" borderId="0" xfId="0" applyNumberFormat="1" applyFont="1" applyFill="1"/>
    <xf numFmtId="165" fontId="3" fillId="8" borderId="0" xfId="0" applyNumberFormat="1" applyFont="1" applyFill="1" applyAlignment="1">
      <alignment horizontal="center"/>
    </xf>
    <xf numFmtId="8" fontId="3" fillId="8" borderId="0" xfId="0" applyNumberFormat="1" applyFont="1" applyFill="1"/>
    <xf numFmtId="10" fontId="3" fillId="8" borderId="0" xfId="0" applyNumberFormat="1" applyFont="1" applyFill="1"/>
    <xf numFmtId="165" fontId="2" fillId="8" borderId="0" xfId="0" applyNumberFormat="1" applyFont="1" applyFill="1" applyAlignment="1">
      <alignment horizontal="center"/>
    </xf>
    <xf numFmtId="0" fontId="3" fillId="8" borderId="0" xfId="0" applyFont="1" applyFill="1"/>
    <xf numFmtId="0" fontId="4" fillId="8" borderId="0" xfId="0" applyFont="1" applyFill="1" applyAlignment="1">
      <alignment horizontal="center"/>
    </xf>
    <xf numFmtId="10" fontId="3" fillId="8" borderId="0" xfId="0" applyNumberFormat="1" applyFont="1" applyFill="1" applyAlignment="1">
      <alignment horizontal="center"/>
    </xf>
    <xf numFmtId="165" fontId="1" fillId="8" borderId="1" xfId="0" applyNumberFormat="1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168" fontId="2" fillId="8" borderId="0" xfId="0" applyNumberFormat="1" applyFont="1" applyFill="1" applyAlignment="1">
      <alignment horizontal="center"/>
    </xf>
    <xf numFmtId="8" fontId="2" fillId="8" borderId="0" xfId="0" applyNumberFormat="1" applyFont="1" applyFill="1" applyAlignment="1">
      <alignment horizontal="center"/>
    </xf>
    <xf numFmtId="10" fontId="2" fillId="8" borderId="0" xfId="0" applyNumberFormat="1" applyFont="1" applyFill="1" applyAlignment="1">
      <alignment horizontal="center"/>
    </xf>
    <xf numFmtId="0" fontId="1" fillId="8" borderId="0" xfId="0" applyFont="1" applyFill="1" applyAlignment="1">
      <alignment horizontal="center"/>
    </xf>
    <xf numFmtId="165" fontId="3" fillId="6" borderId="0" xfId="0" applyNumberFormat="1" applyFont="1" applyFill="1" applyAlignment="1">
      <alignment horizontal="center"/>
    </xf>
    <xf numFmtId="165" fontId="3" fillId="7" borderId="0" xfId="0" applyNumberFormat="1" applyFont="1" applyFill="1" applyAlignment="1">
      <alignment horizontal="center"/>
    </xf>
    <xf numFmtId="0" fontId="3" fillId="6" borderId="0" xfId="0" applyFont="1" applyFill="1"/>
    <xf numFmtId="168" fontId="3" fillId="2" borderId="0" xfId="0" applyNumberFormat="1" applyFont="1" applyFill="1"/>
    <xf numFmtId="0" fontId="3" fillId="2" borderId="0" xfId="0" applyFont="1" applyFill="1"/>
    <xf numFmtId="165" fontId="3" fillId="3" borderId="0" xfId="0" applyNumberFormat="1" applyFont="1" applyFill="1"/>
    <xf numFmtId="165" fontId="3" fillId="4" borderId="0" xfId="0" applyNumberFormat="1" applyFont="1" applyFill="1"/>
    <xf numFmtId="0" fontId="3" fillId="0" borderId="0" xfId="0" applyFont="1"/>
    <xf numFmtId="4" fontId="2" fillId="6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8" fontId="2" fillId="9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/>
    </xf>
    <xf numFmtId="165" fontId="2" fillId="9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0" fillId="0" borderId="0" xfId="0"/>
    <xf numFmtId="168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168" fontId="2" fillId="7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3" fillId="8" borderId="0" xfId="0" applyFont="1" applyFill="1"/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168" fontId="2" fillId="7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3" fillId="6" borderId="0" xfId="0" applyFont="1" applyFill="1"/>
    <xf numFmtId="168" fontId="2" fillId="6" borderId="0" xfId="0" applyNumberFormat="1" applyFont="1" applyFill="1" applyAlignment="1">
      <alignment horizontal="center" vertical="center"/>
    </xf>
    <xf numFmtId="170" fontId="2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5"/>
  <sheetViews>
    <sheetView tabSelected="1" zoomScale="143" zoomScaleNormal="143" workbookViewId="0">
      <pane ySplit="4" topLeftCell="A509" activePane="bottomLeft" state="frozen"/>
      <selection pane="bottomLeft" activeCell="B279" sqref="B279:B281"/>
    </sheetView>
  </sheetViews>
  <sheetFormatPr baseColWidth="10" defaultColWidth="12.6640625" defaultRowHeight="15.75" customHeight="1" x14ac:dyDescent="0.15"/>
  <cols>
    <col min="1" max="1" width="13.33203125" bestFit="1" customWidth="1"/>
    <col min="2" max="2" width="9.6640625" bestFit="1" customWidth="1"/>
    <col min="3" max="3" width="4.83203125" bestFit="1" customWidth="1"/>
    <col min="4" max="4" width="30.6640625" bestFit="1" customWidth="1"/>
    <col min="5" max="5" width="11.33203125" bestFit="1" customWidth="1"/>
    <col min="6" max="6" width="11.1640625" bestFit="1" customWidth="1"/>
    <col min="7" max="7" width="12" bestFit="1" customWidth="1"/>
    <col min="8" max="8" width="13.6640625" bestFit="1" customWidth="1"/>
    <col min="9" max="9" width="9.5" bestFit="1" customWidth="1"/>
    <col min="10" max="10" width="9" bestFit="1" customWidth="1"/>
    <col min="11" max="11" width="17.6640625" bestFit="1" customWidth="1"/>
    <col min="12" max="13" width="9.1640625" bestFit="1" customWidth="1"/>
    <col min="14" max="14" width="6.33203125" bestFit="1" customWidth="1"/>
    <col min="15" max="15" width="10.6640625" bestFit="1" customWidth="1"/>
    <col min="16" max="16" width="38.83203125" bestFit="1" customWidth="1"/>
    <col min="17" max="17" width="9.1640625" bestFit="1" customWidth="1"/>
    <col min="18" max="18" width="6.1640625" bestFit="1" customWidth="1"/>
    <col min="21" max="21" width="14" bestFit="1" customWidth="1"/>
    <col min="22" max="22" width="13.83203125" bestFit="1" customWidth="1"/>
    <col min="23" max="23" width="10.83203125" bestFit="1" customWidth="1"/>
    <col min="24" max="24" width="13.33203125" bestFit="1" customWidth="1"/>
    <col min="25" max="25" width="6.6640625" bestFit="1" customWidth="1"/>
  </cols>
  <sheetData>
    <row r="1" spans="1:34" ht="13" x14ac:dyDescent="0.15">
      <c r="A1" s="2" t="s">
        <v>1</v>
      </c>
      <c r="B1" s="2">
        <f>35000</f>
        <v>35000</v>
      </c>
      <c r="C1" s="2"/>
      <c r="D1" s="2"/>
      <c r="E1" s="3"/>
      <c r="F1" s="2"/>
      <c r="G1" s="2"/>
      <c r="H1" s="2"/>
      <c r="I1" s="2"/>
      <c r="J1" s="4"/>
      <c r="K1" s="5"/>
      <c r="L1" s="1"/>
      <c r="M1" s="1" t="s">
        <v>2</v>
      </c>
      <c r="N1" s="1" t="s">
        <v>3</v>
      </c>
      <c r="O1" s="1" t="s">
        <v>4</v>
      </c>
      <c r="P1" s="1" t="s">
        <v>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3" x14ac:dyDescent="0.15">
      <c r="A2" s="3" t="s">
        <v>6</v>
      </c>
      <c r="B2" s="2"/>
      <c r="C2" s="2"/>
      <c r="D2" s="2"/>
      <c r="E2" s="3"/>
      <c r="F2" s="2"/>
      <c r="G2" s="2"/>
      <c r="H2" s="2"/>
      <c r="I2" s="2"/>
      <c r="J2" s="4"/>
      <c r="K2" s="5"/>
      <c r="L2" s="6"/>
      <c r="M2" s="6">
        <f>SUM(O334:O985)</f>
        <v>6055.9000000000033</v>
      </c>
      <c r="N2" s="7">
        <v>0.66</v>
      </c>
      <c r="O2" s="8">
        <f>M2/40000</f>
        <v>0.15139750000000007</v>
      </c>
      <c r="P2" s="9">
        <f>O2/5*12</f>
        <v>0.36335400000000018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3" x14ac:dyDescent="0.15">
      <c r="A3" s="3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10" t="s">
        <v>12</v>
      </c>
      <c r="G3" s="10" t="s">
        <v>13</v>
      </c>
      <c r="H3" s="10" t="s">
        <v>14</v>
      </c>
      <c r="I3" s="2" t="s">
        <v>15</v>
      </c>
      <c r="J3" s="11" t="s">
        <v>16</v>
      </c>
      <c r="K3" s="5" t="s">
        <v>17</v>
      </c>
      <c r="L3" s="1"/>
      <c r="M3" s="1" t="s">
        <v>18</v>
      </c>
      <c r="O3" s="1" t="s">
        <v>0</v>
      </c>
      <c r="P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3" x14ac:dyDescent="0.15">
      <c r="A4" s="12"/>
      <c r="B4" s="13" t="s">
        <v>19</v>
      </c>
      <c r="C4" s="13"/>
      <c r="D4" s="13">
        <v>100</v>
      </c>
      <c r="E4" s="12"/>
      <c r="F4" s="14">
        <f>-46.19*100</f>
        <v>-4619</v>
      </c>
      <c r="G4" s="14"/>
      <c r="H4" s="14"/>
      <c r="I4" s="14">
        <f t="shared" ref="I4:I7" si="0">F4/D4*-1</f>
        <v>46.19</v>
      </c>
      <c r="J4" s="15"/>
      <c r="K4" s="16"/>
      <c r="L4" s="7"/>
      <c r="M4" s="7"/>
      <c r="O4" s="7"/>
      <c r="P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ht="13" x14ac:dyDescent="0.15">
      <c r="A5" s="12"/>
      <c r="B5" s="13" t="s">
        <v>20</v>
      </c>
      <c r="C5" s="13"/>
      <c r="D5" s="13">
        <v>100</v>
      </c>
      <c r="E5" s="12"/>
      <c r="F5" s="14">
        <f>-100*74.42</f>
        <v>-7442</v>
      </c>
      <c r="G5" s="14"/>
      <c r="H5" s="14"/>
      <c r="I5" s="14">
        <f t="shared" si="0"/>
        <v>74.42</v>
      </c>
      <c r="J5" s="15"/>
      <c r="K5" s="1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13" x14ac:dyDescent="0.15">
      <c r="A6" s="12"/>
      <c r="B6" s="13" t="s">
        <v>20</v>
      </c>
      <c r="C6" s="13"/>
      <c r="D6" s="13">
        <v>93</v>
      </c>
      <c r="E6" s="12"/>
      <c r="F6" s="14">
        <f>-D6*73.89</f>
        <v>-6871.77</v>
      </c>
      <c r="G6" s="13"/>
      <c r="H6" s="17" t="s">
        <v>21</v>
      </c>
      <c r="I6" s="14">
        <f t="shared" si="0"/>
        <v>73.89</v>
      </c>
      <c r="J6" s="15"/>
      <c r="K6" s="1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ht="13" x14ac:dyDescent="0.15">
      <c r="A7" s="12"/>
      <c r="B7" s="13" t="s">
        <v>22</v>
      </c>
      <c r="C7" s="13"/>
      <c r="D7" s="13">
        <v>300</v>
      </c>
      <c r="E7" s="12"/>
      <c r="F7" s="14">
        <f>-D7*53.92</f>
        <v>-16176</v>
      </c>
      <c r="G7" s="14"/>
      <c r="H7" s="14"/>
      <c r="I7" s="14">
        <f t="shared" si="0"/>
        <v>53.92</v>
      </c>
      <c r="J7" s="15"/>
      <c r="K7" s="1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13" x14ac:dyDescent="0.15">
      <c r="A8" s="12"/>
      <c r="B8" s="13"/>
      <c r="C8" s="13"/>
      <c r="D8" s="13"/>
      <c r="E8" s="12"/>
      <c r="F8" s="14"/>
      <c r="G8" s="14"/>
      <c r="H8" s="14"/>
      <c r="I8" s="14"/>
      <c r="J8" s="15"/>
      <c r="K8" s="16"/>
      <c r="L8" s="8"/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ht="13" x14ac:dyDescent="0.15">
      <c r="A9" s="12"/>
      <c r="B9" s="13"/>
      <c r="C9" s="13"/>
      <c r="D9" s="13"/>
      <c r="E9" s="12"/>
      <c r="F9" s="14"/>
      <c r="G9" s="14"/>
      <c r="H9" s="14"/>
      <c r="I9" s="14"/>
      <c r="J9" s="15"/>
      <c r="K9" s="16"/>
      <c r="L9" s="8"/>
      <c r="M9" s="8"/>
      <c r="N9" s="7"/>
      <c r="O9" s="7"/>
      <c r="P9" s="18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13" x14ac:dyDescent="0.15">
      <c r="A10" s="19"/>
      <c r="B10" s="20" t="s">
        <v>19</v>
      </c>
      <c r="C10" s="20"/>
      <c r="D10" s="20" t="s">
        <v>23</v>
      </c>
      <c r="E10" s="19">
        <v>45779</v>
      </c>
      <c r="F10" s="21">
        <v>0.63</v>
      </c>
      <c r="G10" s="21">
        <f>F10-H10</f>
        <v>0</v>
      </c>
      <c r="H10" s="21">
        <v>0.63</v>
      </c>
      <c r="I10" s="21">
        <f>(F4+F10*100)/-100</f>
        <v>45.56</v>
      </c>
      <c r="J10" s="22">
        <v>0.14000000000000001</v>
      </c>
      <c r="K10" s="22">
        <f>(F10-J10)*100</f>
        <v>49</v>
      </c>
      <c r="L10" s="23"/>
      <c r="M10" s="23">
        <f>(K10/F4*-1)</f>
        <v>1.0608356787183373E-2</v>
      </c>
      <c r="N10" s="20"/>
      <c r="O10" s="22">
        <f>K10-($N$2*2)</f>
        <v>47.68</v>
      </c>
      <c r="P10" s="20"/>
      <c r="Q10" s="20"/>
      <c r="R10" s="20"/>
      <c r="S10" s="20"/>
      <c r="T10" s="20"/>
      <c r="U10" s="20" t="s">
        <v>24</v>
      </c>
      <c r="V10" s="20" t="s">
        <v>25</v>
      </c>
      <c r="W10" s="20" t="s">
        <v>26</v>
      </c>
      <c r="X10" s="20" t="s">
        <v>27</v>
      </c>
      <c r="Y10" s="20" t="s">
        <v>28</v>
      </c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3" x14ac:dyDescent="0.15">
      <c r="A11" s="12"/>
      <c r="B11" s="13"/>
      <c r="C11" s="13"/>
      <c r="D11" s="13"/>
      <c r="E11" s="12"/>
      <c r="F11" s="14"/>
      <c r="G11" s="14"/>
      <c r="H11" s="14"/>
      <c r="I11" s="14"/>
      <c r="J11" s="15"/>
      <c r="K11" s="16"/>
      <c r="L11" s="7"/>
      <c r="M11" s="7"/>
      <c r="N11" s="7"/>
      <c r="O11" s="7"/>
      <c r="P11" s="7"/>
      <c r="Q11" s="7"/>
      <c r="R11" s="7"/>
      <c r="S11" s="7"/>
      <c r="T11" s="7"/>
      <c r="U11" s="7">
        <f ca="1">IFERROR(__xludf.DUMMYFUNCTION("GOOGLEFINANCE(""TQQQ"")"),74.66)</f>
        <v>74.66</v>
      </c>
      <c r="V11" s="7">
        <v>1</v>
      </c>
      <c r="W11" s="6">
        <f ca="1">U11*V11*100</f>
        <v>7466</v>
      </c>
      <c r="X11" s="6">
        <f>2*Y11*V11</f>
        <v>140</v>
      </c>
      <c r="Y11" s="6">
        <v>70</v>
      </c>
      <c r="Z11" s="7"/>
      <c r="AA11" s="7"/>
      <c r="AB11" s="7"/>
      <c r="AC11" s="7"/>
      <c r="AD11" s="7"/>
      <c r="AE11" s="7"/>
      <c r="AF11" s="7"/>
      <c r="AG11" s="7"/>
      <c r="AH11" s="7"/>
    </row>
    <row r="12" spans="1:34" ht="13" x14ac:dyDescent="0.15">
      <c r="A12" s="19"/>
      <c r="B12" s="20" t="s">
        <v>20</v>
      </c>
      <c r="C12" s="20"/>
      <c r="D12" s="20" t="s">
        <v>29</v>
      </c>
      <c r="E12" s="19">
        <v>45779</v>
      </c>
      <c r="F12" s="21">
        <v>1.24</v>
      </c>
      <c r="G12" s="21">
        <v>0</v>
      </c>
      <c r="H12" s="21">
        <v>1.24</v>
      </c>
      <c r="I12" s="21">
        <f>(F5+F12)/-100</f>
        <v>74.407600000000002</v>
      </c>
      <c r="J12" s="22">
        <v>1.18</v>
      </c>
      <c r="K12" s="22">
        <f>(F12-J12)*100</f>
        <v>6.0000000000000053</v>
      </c>
      <c r="L12" s="23"/>
      <c r="M12" s="23">
        <f>(K12/F5*-1)</f>
        <v>8.0623488309594269E-4</v>
      </c>
      <c r="N12" s="20"/>
      <c r="O12" s="22">
        <f>K12-($N$2*2)</f>
        <v>4.680000000000005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 spans="1:34" ht="13" x14ac:dyDescent="0.15">
      <c r="A13" s="12"/>
      <c r="B13" s="13"/>
      <c r="C13" s="13"/>
      <c r="D13" s="13"/>
      <c r="E13" s="12"/>
      <c r="F13" s="14"/>
      <c r="G13" s="14"/>
      <c r="H13" s="14"/>
      <c r="I13" s="14"/>
      <c r="J13" s="15"/>
      <c r="K13" s="1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8">
        <f ca="1">X11/W11</f>
        <v>1.8751674256630057E-2</v>
      </c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ht="13" x14ac:dyDescent="0.15">
      <c r="A14" s="19">
        <v>45768</v>
      </c>
      <c r="B14" s="20" t="s">
        <v>19</v>
      </c>
      <c r="C14" s="70">
        <v>1</v>
      </c>
      <c r="D14" s="20" t="s">
        <v>30</v>
      </c>
      <c r="E14" s="19">
        <v>45779</v>
      </c>
      <c r="F14" s="21">
        <v>7.34</v>
      </c>
      <c r="G14" s="21">
        <f>F14-H14</f>
        <v>5.9399999999999995</v>
      </c>
      <c r="H14" s="21">
        <v>1.4</v>
      </c>
      <c r="I14" s="21">
        <f>($F$4+F14)/-100</f>
        <v>46.116599999999998</v>
      </c>
      <c r="J14" s="22">
        <v>22.95</v>
      </c>
      <c r="K14" s="22">
        <f>(F14-J14)*100</f>
        <v>-1561</v>
      </c>
      <c r="L14" s="24"/>
      <c r="M14" s="24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5" spans="1:34" ht="13" x14ac:dyDescent="0.15">
      <c r="A15" s="19">
        <v>45768</v>
      </c>
      <c r="B15" s="20" t="s">
        <v>19</v>
      </c>
      <c r="C15" s="68"/>
      <c r="D15" s="20" t="s">
        <v>31</v>
      </c>
      <c r="E15" s="19"/>
      <c r="F15" s="21">
        <v>43.37</v>
      </c>
      <c r="G15" s="72" t="str">
        <f>IF(J15&gt;F16,"Did not breach BE","breached BE")</f>
        <v>Did not breach BE</v>
      </c>
      <c r="H15" s="68"/>
      <c r="I15" s="68"/>
      <c r="J15" s="22">
        <v>59.51</v>
      </c>
      <c r="K15" s="22">
        <f>(J15-F15)*100</f>
        <v>1614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 spans="1:34" ht="13" x14ac:dyDescent="0.15">
      <c r="A16" s="19"/>
      <c r="B16" s="20"/>
      <c r="C16" s="20"/>
      <c r="D16" s="25" t="s">
        <v>32</v>
      </c>
      <c r="E16" s="19"/>
      <c r="F16" s="21">
        <f>F15-F14</f>
        <v>36.03</v>
      </c>
      <c r="G16" s="23">
        <f>(F16-F15)/F15</f>
        <v>-0.16924141111367297</v>
      </c>
      <c r="H16" s="20"/>
      <c r="I16" s="20"/>
      <c r="J16" s="22">
        <v>44.93</v>
      </c>
      <c r="K16" s="26">
        <f>SUM(K14:K15)-(0.68*C14*2)</f>
        <v>51.64</v>
      </c>
      <c r="L16" s="23"/>
      <c r="M16" s="23">
        <f>K16/(F16*C14*100)</f>
        <v>1.4332500693866223E-2</v>
      </c>
      <c r="N16" s="20"/>
      <c r="O16" s="22">
        <f>K16-($N$2*2)</f>
        <v>50.32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1:34" ht="13" x14ac:dyDescent="0.15">
      <c r="A17" s="12"/>
      <c r="B17" s="13"/>
      <c r="C17" s="13"/>
      <c r="D17" s="13"/>
      <c r="E17" s="12"/>
      <c r="F17" s="13"/>
      <c r="G17" s="13"/>
      <c r="H17" s="13"/>
      <c r="I17" s="13"/>
      <c r="J17" s="15"/>
      <c r="K17" s="1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13" x14ac:dyDescent="0.15">
      <c r="A18" s="19">
        <v>45769</v>
      </c>
      <c r="B18" s="20" t="s">
        <v>20</v>
      </c>
      <c r="C18" s="70">
        <v>1</v>
      </c>
      <c r="D18" s="20" t="s">
        <v>33</v>
      </c>
      <c r="E18" s="19">
        <v>45779</v>
      </c>
      <c r="F18" s="21">
        <v>2.39</v>
      </c>
      <c r="G18" s="21">
        <f>F18-H18</f>
        <v>0</v>
      </c>
      <c r="H18" s="21">
        <v>2.39</v>
      </c>
      <c r="I18" s="21">
        <v>71.77</v>
      </c>
      <c r="J18" s="22">
        <v>12.25</v>
      </c>
      <c r="K18" s="22">
        <f>(F18-J18)*100</f>
        <v>-986</v>
      </c>
      <c r="L18" s="23"/>
      <c r="M18" s="23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</row>
    <row r="19" spans="1:34" ht="13" x14ac:dyDescent="0.15">
      <c r="A19" s="19">
        <v>45769</v>
      </c>
      <c r="B19" s="20" t="s">
        <v>20</v>
      </c>
      <c r="C19" s="68"/>
      <c r="D19" s="20" t="s">
        <v>31</v>
      </c>
      <c r="E19" s="19"/>
      <c r="F19" s="21">
        <v>43.46</v>
      </c>
      <c r="G19" s="72" t="str">
        <f>IF(J19&gt;F20,"Did not breach BE ✅","breached BE")</f>
        <v>Did not breach BE ✅</v>
      </c>
      <c r="H19" s="68"/>
      <c r="I19" s="68"/>
      <c r="J19" s="22">
        <v>57.19</v>
      </c>
      <c r="K19" s="22">
        <f>(J19-F19)*100</f>
        <v>1372.9999999999998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</row>
    <row r="20" spans="1:34" ht="13" x14ac:dyDescent="0.15">
      <c r="A20" s="19"/>
      <c r="B20" s="20"/>
      <c r="C20" s="20"/>
      <c r="D20" s="25" t="s">
        <v>32</v>
      </c>
      <c r="E20" s="19"/>
      <c r="F20" s="21">
        <f>F19-F18</f>
        <v>41.07</v>
      </c>
      <c r="G20" s="23">
        <f>(F20-F19)/F19</f>
        <v>-5.4993097100782339E-2</v>
      </c>
      <c r="H20" s="20"/>
      <c r="I20" s="20"/>
      <c r="J20" s="22">
        <v>44.93</v>
      </c>
      <c r="K20" s="26">
        <f>SUM(K18:K19)-(0.68*C18*2)</f>
        <v>385.63999999999976</v>
      </c>
      <c r="L20" s="23"/>
      <c r="M20" s="23">
        <f>K20/(F20*C18*100)</f>
        <v>9.3898222546871135E-2</v>
      </c>
      <c r="N20" s="20"/>
      <c r="O20" s="22">
        <f>K20-($N$2*2)</f>
        <v>384.31999999999977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spans="1:34" ht="13" x14ac:dyDescent="0.15">
      <c r="A21" s="12"/>
      <c r="B21" s="13"/>
      <c r="C21" s="13"/>
      <c r="D21" s="13"/>
      <c r="E21" s="12"/>
      <c r="F21" s="13"/>
      <c r="G21" s="13"/>
      <c r="H21" s="13"/>
      <c r="I21" s="13"/>
      <c r="J21" s="15"/>
      <c r="K21" s="1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ht="13" x14ac:dyDescent="0.15">
      <c r="A22" s="19">
        <v>45775</v>
      </c>
      <c r="B22" s="20" t="s">
        <v>22</v>
      </c>
      <c r="C22" s="70">
        <v>3</v>
      </c>
      <c r="D22" s="20" t="s">
        <v>34</v>
      </c>
      <c r="E22" s="19">
        <v>45779</v>
      </c>
      <c r="F22" s="21">
        <v>5.5</v>
      </c>
      <c r="G22" s="21">
        <f>F22-H22</f>
        <v>4.63</v>
      </c>
      <c r="H22" s="21">
        <v>0.87</v>
      </c>
      <c r="I22" s="21">
        <f>($F$7+F22*C22)/-200</f>
        <v>80.797499999999999</v>
      </c>
      <c r="J22" s="22">
        <v>10.36</v>
      </c>
      <c r="K22" s="22">
        <f>(F22-J22)*100*C22</f>
        <v>-1457.9999999999998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</row>
    <row r="23" spans="1:34" ht="13" x14ac:dyDescent="0.15">
      <c r="A23" s="19">
        <v>45775</v>
      </c>
      <c r="B23" s="20" t="s">
        <v>22</v>
      </c>
      <c r="C23" s="68"/>
      <c r="D23" s="20" t="s">
        <v>35</v>
      </c>
      <c r="E23" s="19"/>
      <c r="F23" s="21">
        <f>I7</f>
        <v>53.92</v>
      </c>
      <c r="G23" s="72" t="str">
        <f>IF(J23&gt;F24,"Did not breach BE ✅","breached BE")</f>
        <v>Did not breach BE ✅</v>
      </c>
      <c r="H23" s="68"/>
      <c r="I23" s="68"/>
      <c r="J23" s="22">
        <v>59.34</v>
      </c>
      <c r="K23" s="22">
        <f>(J23-F23)*100*C22</f>
        <v>1626.0000000000007</v>
      </c>
      <c r="L23" s="20"/>
      <c r="M23" s="20"/>
      <c r="N23" s="20"/>
      <c r="O23" s="20"/>
      <c r="P23" s="27"/>
      <c r="Q23" s="27">
        <v>45748</v>
      </c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</row>
    <row r="24" spans="1:34" ht="13" x14ac:dyDescent="0.15">
      <c r="A24" s="19"/>
      <c r="B24" s="20"/>
      <c r="C24" s="25"/>
      <c r="D24" s="25" t="s">
        <v>32</v>
      </c>
      <c r="E24" s="19"/>
      <c r="F24" s="21">
        <f>F23-F22</f>
        <v>48.42</v>
      </c>
      <c r="G24" s="23">
        <f>(F24-F23)/F23</f>
        <v>-0.10200296735905044</v>
      </c>
      <c r="H24" s="20"/>
      <c r="I24" s="20"/>
      <c r="J24" s="22">
        <f>J23-J22</f>
        <v>48.980000000000004</v>
      </c>
      <c r="K24" s="26">
        <f>SUM(K22:K23)-(0.68*C22*2)</f>
        <v>163.9200000000009</v>
      </c>
      <c r="L24" s="23"/>
      <c r="M24" s="23">
        <f>K24/(F24*C22*100)</f>
        <v>1.1284593143329264E-2</v>
      </c>
      <c r="N24" s="20"/>
      <c r="O24" s="22">
        <f>K24-($N$2*2)</f>
        <v>162.6000000000009</v>
      </c>
      <c r="P24" s="20"/>
      <c r="Q24" s="22">
        <f>SUM(O10:O24)</f>
        <v>649.6000000000007</v>
      </c>
      <c r="R24" s="23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</row>
    <row r="25" spans="1:34" ht="13" x14ac:dyDescent="0.15">
      <c r="A25" s="12"/>
      <c r="B25" s="13"/>
      <c r="C25" s="13"/>
      <c r="D25" s="13"/>
      <c r="E25" s="12"/>
      <c r="F25" s="13"/>
      <c r="G25" s="13"/>
      <c r="H25" s="13"/>
      <c r="I25" s="13"/>
      <c r="J25" s="15"/>
      <c r="K25" s="1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4" ht="13" x14ac:dyDescent="0.15">
      <c r="A26" s="19">
        <v>45778</v>
      </c>
      <c r="B26" s="20" t="s">
        <v>20</v>
      </c>
      <c r="C26" s="70">
        <v>1</v>
      </c>
      <c r="D26" s="20" t="s">
        <v>36</v>
      </c>
      <c r="E26" s="19">
        <v>45785</v>
      </c>
      <c r="F26" s="21">
        <v>6.39</v>
      </c>
      <c r="G26" s="21">
        <f>F26-H26</f>
        <v>5.89</v>
      </c>
      <c r="H26" s="21">
        <v>0.5</v>
      </c>
      <c r="I26" s="21"/>
      <c r="J26" s="22">
        <v>6.15</v>
      </c>
      <c r="K26" s="22">
        <f>(F26-J26)*100*C26</f>
        <v>23.999999999999932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 spans="1:34" ht="13" x14ac:dyDescent="0.15">
      <c r="A27" s="19">
        <v>45778</v>
      </c>
      <c r="B27" s="20" t="s">
        <v>20</v>
      </c>
      <c r="C27" s="68"/>
      <c r="D27" s="20" t="s">
        <v>31</v>
      </c>
      <c r="E27" s="19"/>
      <c r="F27" s="21">
        <v>57.56</v>
      </c>
      <c r="G27" s="72" t="str">
        <f>IF(J27&gt;F28,"Did not breach BE ✅","breached BE")</f>
        <v>Did not breach BE ✅</v>
      </c>
      <c r="H27" s="68"/>
      <c r="I27" s="68"/>
      <c r="J27" s="22">
        <v>57.97</v>
      </c>
      <c r="K27" s="22">
        <f>(J27-F27)*100*C26</f>
        <v>40.999999999999659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</row>
    <row r="28" spans="1:34" ht="13" x14ac:dyDescent="0.15">
      <c r="A28" s="19"/>
      <c r="B28" s="20"/>
      <c r="C28" s="25"/>
      <c r="D28" s="25" t="s">
        <v>32</v>
      </c>
      <c r="E28" s="19"/>
      <c r="F28" s="21">
        <f>F27-F26</f>
        <v>51.17</v>
      </c>
      <c r="G28" s="23">
        <f>(F28-F27)/F27</f>
        <v>-0.1110145934676859</v>
      </c>
      <c r="H28" s="20"/>
      <c r="I28" s="20"/>
      <c r="J28" s="22">
        <f>J27-J26</f>
        <v>51.82</v>
      </c>
      <c r="K28" s="26">
        <f>SUM(K26:K27)-(0.68*C26*2)</f>
        <v>63.639999999999588</v>
      </c>
      <c r="L28" s="23"/>
      <c r="M28" s="23">
        <f>K28/(F28*C26*100)</f>
        <v>1.2436974789915886E-2</v>
      </c>
      <c r="N28" s="20"/>
      <c r="O28" s="22">
        <f>K28-($N$2*2)</f>
        <v>62.319999999999588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</row>
    <row r="29" spans="1:34" ht="13" x14ac:dyDescent="0.15">
      <c r="A29" s="12"/>
      <c r="B29" s="13"/>
      <c r="C29" s="13"/>
      <c r="D29" s="13"/>
      <c r="E29" s="12"/>
      <c r="F29" s="13"/>
      <c r="G29" s="13"/>
      <c r="H29" s="13"/>
      <c r="I29" s="13"/>
      <c r="J29" s="15"/>
      <c r="K29" s="1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ht="13" x14ac:dyDescent="0.15">
      <c r="A30" s="19">
        <v>45779</v>
      </c>
      <c r="B30" s="20" t="s">
        <v>22</v>
      </c>
      <c r="C30" s="70">
        <v>3</v>
      </c>
      <c r="D30" s="20" t="s">
        <v>37</v>
      </c>
      <c r="E30" s="19">
        <v>45785</v>
      </c>
      <c r="F30" s="21">
        <v>5.44</v>
      </c>
      <c r="G30" s="21">
        <f>F30-H30</f>
        <v>4.5500000000000007</v>
      </c>
      <c r="H30" s="21">
        <v>0.89</v>
      </c>
      <c r="I30" s="21"/>
      <c r="J30" s="22">
        <v>4</v>
      </c>
      <c r="K30" s="22">
        <f>(F30-J30)*100*C30</f>
        <v>432.00000000000011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</row>
    <row r="31" spans="1:34" ht="13" x14ac:dyDescent="0.15">
      <c r="A31" s="19">
        <v>45779</v>
      </c>
      <c r="B31" s="20" t="s">
        <v>22</v>
      </c>
      <c r="C31" s="68"/>
      <c r="D31" s="20" t="s">
        <v>35</v>
      </c>
      <c r="E31" s="19"/>
      <c r="F31" s="21">
        <v>59.58</v>
      </c>
      <c r="G31" s="72" t="str">
        <f>IF(J31&gt;F32,"Did not breach BE ✅","breached BE")</f>
        <v>Did not breach BE ✅</v>
      </c>
      <c r="H31" s="68"/>
      <c r="I31" s="68"/>
      <c r="J31" s="22">
        <v>58.95</v>
      </c>
      <c r="K31" s="22">
        <f>(J31-F31)*100*C30</f>
        <v>-188.99999999999864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</row>
    <row r="32" spans="1:34" ht="13" x14ac:dyDescent="0.15">
      <c r="A32" s="19"/>
      <c r="B32" s="20"/>
      <c r="C32" s="25"/>
      <c r="D32" s="25" t="s">
        <v>32</v>
      </c>
      <c r="E32" s="19"/>
      <c r="F32" s="21">
        <f>F31-F30</f>
        <v>54.14</v>
      </c>
      <c r="G32" s="23">
        <f>(F32-F31)/F31</f>
        <v>-9.1305807317891868E-2</v>
      </c>
      <c r="H32" s="20"/>
      <c r="I32" s="20"/>
      <c r="J32" s="22">
        <f>J31-J30</f>
        <v>54.95</v>
      </c>
      <c r="K32" s="26">
        <f>SUM(K30:K31)-(0.68*C30*2)</f>
        <v>238.92000000000147</v>
      </c>
      <c r="L32" s="23"/>
      <c r="M32" s="23">
        <f>K32/(F32*C30*100)</f>
        <v>1.4710011082379106E-2</v>
      </c>
      <c r="N32" s="20"/>
      <c r="O32" s="22">
        <f>K32-($N$2*2)</f>
        <v>237.60000000000147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</row>
    <row r="33" spans="1:34" ht="13" x14ac:dyDescent="0.15">
      <c r="A33" s="12"/>
      <c r="B33" s="13"/>
      <c r="C33" s="13"/>
      <c r="D33" s="13"/>
      <c r="E33" s="12"/>
      <c r="F33" s="13"/>
      <c r="G33" s="13"/>
      <c r="H33" s="13"/>
      <c r="I33" s="13"/>
      <c r="J33" s="15"/>
      <c r="K33" s="16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ht="13" x14ac:dyDescent="0.15">
      <c r="A34" s="28">
        <v>45785</v>
      </c>
      <c r="B34" s="29" t="s">
        <v>20</v>
      </c>
      <c r="C34" s="67">
        <v>1</v>
      </c>
      <c r="D34" s="29" t="s">
        <v>38</v>
      </c>
      <c r="E34" s="28">
        <v>45793</v>
      </c>
      <c r="F34" s="30">
        <v>7.3</v>
      </c>
      <c r="G34" s="30">
        <f>F34-H34</f>
        <v>6.6349999999999998</v>
      </c>
      <c r="H34" s="30">
        <v>0.66500000000000004</v>
      </c>
      <c r="I34" s="31"/>
      <c r="J34" s="32">
        <v>14</v>
      </c>
      <c r="K34" s="32">
        <f>(F34-J34)*100*C34</f>
        <v>-670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</row>
    <row r="35" spans="1:34" ht="13" x14ac:dyDescent="0.15">
      <c r="A35" s="28">
        <v>45785</v>
      </c>
      <c r="B35" s="29" t="s">
        <v>20</v>
      </c>
      <c r="C35" s="68"/>
      <c r="D35" s="29" t="s">
        <v>31</v>
      </c>
      <c r="E35" s="28"/>
      <c r="F35" s="30">
        <v>57.94</v>
      </c>
      <c r="G35" s="73" t="str">
        <f>IF(J35&gt;F36,"Did not breach BE ✅","breached BE")</f>
        <v>Did not breach BE ✅</v>
      </c>
      <c r="H35" s="68"/>
      <c r="I35" s="68"/>
      <c r="J35" s="32">
        <v>64.73</v>
      </c>
      <c r="K35" s="32">
        <f>(J35-F35)*100*C34</f>
        <v>679.00000000000068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</row>
    <row r="36" spans="1:34" ht="13" x14ac:dyDescent="0.15">
      <c r="A36" s="28"/>
      <c r="B36" s="29"/>
      <c r="C36" s="33"/>
      <c r="D36" s="33" t="s">
        <v>32</v>
      </c>
      <c r="E36" s="28"/>
      <c r="F36" s="30">
        <f>F35-F34</f>
        <v>50.64</v>
      </c>
      <c r="G36" s="31">
        <f>(F36-F35)/F35</f>
        <v>-0.12599240593717634</v>
      </c>
      <c r="H36" s="29"/>
      <c r="I36" s="29"/>
      <c r="J36" s="32">
        <f>J35-J34</f>
        <v>50.730000000000004</v>
      </c>
      <c r="K36" s="34">
        <f>SUM(K34:K35)-(0.68*C34*2)</f>
        <v>7.6400000000006818</v>
      </c>
      <c r="L36" s="31"/>
      <c r="M36" s="31">
        <f>K36/(F35*C34*100)</f>
        <v>1.3186054539179638E-3</v>
      </c>
      <c r="N36" s="29"/>
      <c r="O36" s="32">
        <f>K36-($N$2*2)</f>
        <v>6.3200000000006815</v>
      </c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</row>
    <row r="37" spans="1:34" ht="13" x14ac:dyDescent="0.15">
      <c r="A37" s="12"/>
      <c r="B37" s="13"/>
      <c r="C37" s="13"/>
      <c r="D37" s="13"/>
      <c r="E37" s="12"/>
      <c r="F37" s="13"/>
      <c r="G37" s="13"/>
      <c r="H37" s="13"/>
      <c r="I37" s="13"/>
      <c r="J37" s="15"/>
      <c r="K37" s="1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ht="13" x14ac:dyDescent="0.15">
      <c r="A38" s="2" t="s">
        <v>39</v>
      </c>
      <c r="B38" s="13">
        <f>SUM(O39:O53)</f>
        <v>617.24000000000285</v>
      </c>
      <c r="C38" s="13"/>
      <c r="D38" s="13"/>
      <c r="E38" s="12"/>
      <c r="F38" s="13"/>
      <c r="G38" s="13"/>
      <c r="H38" s="13"/>
      <c r="I38" s="13"/>
      <c r="J38" s="15"/>
      <c r="K38" s="1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ht="13" x14ac:dyDescent="0.15">
      <c r="A39" s="19">
        <v>45789</v>
      </c>
      <c r="B39" s="20" t="s">
        <v>22</v>
      </c>
      <c r="C39" s="70">
        <v>4</v>
      </c>
      <c r="D39" s="20" t="s">
        <v>40</v>
      </c>
      <c r="E39" s="19">
        <v>45793</v>
      </c>
      <c r="F39" s="20">
        <v>3.85</v>
      </c>
      <c r="G39" s="21">
        <f>F39-H39</f>
        <v>2.95</v>
      </c>
      <c r="H39" s="20">
        <v>0.9</v>
      </c>
      <c r="I39" s="20"/>
      <c r="J39" s="22">
        <v>9.3000000000000007</v>
      </c>
      <c r="K39" s="22">
        <f>(F39-J39)*100*C39</f>
        <v>-2180.0000000000005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spans="1:34" ht="13" x14ac:dyDescent="0.15">
      <c r="A40" s="19">
        <v>45789</v>
      </c>
      <c r="B40" s="20" t="s">
        <v>22</v>
      </c>
      <c r="C40" s="68"/>
      <c r="D40" s="20" t="s">
        <v>41</v>
      </c>
      <c r="E40" s="19"/>
      <c r="F40" s="21">
        <v>64.459999999999994</v>
      </c>
      <c r="G40" s="72" t="str">
        <f>IF(J40&gt;F41,"Did not breach BE ✅","breached BE")</f>
        <v>Did not breach BE ✅</v>
      </c>
      <c r="H40" s="68"/>
      <c r="I40" s="68"/>
      <c r="J40" s="22">
        <v>70.75</v>
      </c>
      <c r="K40" s="22">
        <f>(J40-F40)*100*C39</f>
        <v>2516.0000000000027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spans="1:34" ht="13" x14ac:dyDescent="0.15">
      <c r="A41" s="19"/>
      <c r="B41" s="20"/>
      <c r="C41" s="20"/>
      <c r="D41" s="25" t="s">
        <v>32</v>
      </c>
      <c r="E41" s="19"/>
      <c r="F41" s="21">
        <f>F40-F39</f>
        <v>60.609999999999992</v>
      </c>
      <c r="G41" s="23">
        <f>(F41-F40)/F40</f>
        <v>-5.9726962457337912E-2</v>
      </c>
      <c r="H41" s="20"/>
      <c r="I41" s="20"/>
      <c r="J41" s="22">
        <f>J40-J39</f>
        <v>61.45</v>
      </c>
      <c r="K41" s="26">
        <f>SUM(K39:K40)-(0.68*C39*2)</f>
        <v>330.56000000000228</v>
      </c>
      <c r="L41" s="23"/>
      <c r="M41" s="23">
        <f>K41/(F40*C39*100)</f>
        <v>1.2820353707725812E-2</v>
      </c>
      <c r="N41" s="20"/>
      <c r="O41" s="22">
        <f>K41-($N$2*2)</f>
        <v>329.24000000000228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</row>
    <row r="42" spans="1:34" ht="13" x14ac:dyDescent="0.15">
      <c r="A42" s="12"/>
      <c r="B42" s="13"/>
      <c r="C42" s="13"/>
      <c r="D42" s="13"/>
      <c r="E42" s="12"/>
      <c r="F42" s="13"/>
      <c r="G42" s="13"/>
      <c r="H42" s="13"/>
      <c r="I42" s="13"/>
      <c r="J42" s="15"/>
      <c r="K42" s="16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ht="13" x14ac:dyDescent="0.15">
      <c r="A43" s="19">
        <v>45789</v>
      </c>
      <c r="B43" s="20" t="s">
        <v>20</v>
      </c>
      <c r="C43" s="70">
        <v>1</v>
      </c>
      <c r="D43" s="20" t="s">
        <v>42</v>
      </c>
      <c r="E43" s="19">
        <v>45793</v>
      </c>
      <c r="F43" s="22">
        <v>1.1299999999999999</v>
      </c>
      <c r="G43" s="21">
        <f>F43-H43</f>
        <v>0.46499999999999986</v>
      </c>
      <c r="H43" s="21">
        <v>0.66500000000000004</v>
      </c>
      <c r="I43" s="23"/>
      <c r="J43" s="22">
        <v>2.17</v>
      </c>
      <c r="K43" s="22">
        <f>(F43-J43)*100*C43</f>
        <v>-104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</row>
    <row r="44" spans="1:34" ht="13" x14ac:dyDescent="0.15">
      <c r="A44" s="19">
        <v>45789</v>
      </c>
      <c r="B44" s="20" t="s">
        <v>20</v>
      </c>
      <c r="C44" s="68"/>
      <c r="D44" s="20" t="s">
        <v>31</v>
      </c>
      <c r="E44" s="19"/>
      <c r="F44" s="22">
        <v>64.94</v>
      </c>
      <c r="G44" s="72" t="str">
        <f>IF(J44&gt;F45,"Did not breach BE ✅","breached BE")</f>
        <v>Did not breach BE ✅</v>
      </c>
      <c r="H44" s="68"/>
      <c r="I44" s="68"/>
      <c r="J44" s="22">
        <v>67.84</v>
      </c>
      <c r="K44" s="22">
        <f>(J44-F44)*100*C43</f>
        <v>290.00000000000057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spans="1:34" ht="13" x14ac:dyDescent="0.15">
      <c r="A45" s="19"/>
      <c r="B45" s="20"/>
      <c r="C45" s="25" t="s">
        <v>43</v>
      </c>
      <c r="D45" s="25" t="s">
        <v>32</v>
      </c>
      <c r="E45" s="19"/>
      <c r="F45" s="22">
        <f>F44-F43</f>
        <v>63.809999999999995</v>
      </c>
      <c r="G45" s="23">
        <f>(F45-F44)/F44</f>
        <v>-1.7400677548506355E-2</v>
      </c>
      <c r="H45" s="20"/>
      <c r="I45" s="20"/>
      <c r="J45" s="22">
        <f>J44-J43</f>
        <v>65.67</v>
      </c>
      <c r="K45" s="26">
        <f>SUM(K43:K44)-(0.68*C43*2)</f>
        <v>184.64000000000055</v>
      </c>
      <c r="L45" s="23"/>
      <c r="M45" s="23">
        <f>K45/(F44*C43*100)</f>
        <v>2.8432399137665623E-2</v>
      </c>
      <c r="N45" s="20"/>
      <c r="O45" s="22">
        <f>K45-($N$2*2)</f>
        <v>183.32000000000056</v>
      </c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 spans="1:34" ht="13" x14ac:dyDescent="0.15">
      <c r="A46" s="12"/>
      <c r="B46" s="13"/>
      <c r="C46" s="13"/>
      <c r="D46" s="13"/>
      <c r="E46" s="12"/>
      <c r="F46" s="13"/>
      <c r="G46" s="13"/>
      <c r="H46" s="13"/>
      <c r="I46" s="13"/>
      <c r="J46" s="15"/>
      <c r="K46" s="16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:34" ht="13" x14ac:dyDescent="0.15">
      <c r="A47" s="19">
        <v>45790</v>
      </c>
      <c r="B47" s="20" t="s">
        <v>20</v>
      </c>
      <c r="C47" s="70">
        <v>1</v>
      </c>
      <c r="D47" s="20" t="s">
        <v>44</v>
      </c>
      <c r="E47" s="19">
        <v>45793</v>
      </c>
      <c r="F47" s="22">
        <v>0.86</v>
      </c>
      <c r="G47" s="21">
        <f>F47-H47</f>
        <v>0</v>
      </c>
      <c r="H47" s="21">
        <v>0.86</v>
      </c>
      <c r="I47" s="23"/>
      <c r="J47" s="22">
        <v>3.54</v>
      </c>
      <c r="K47" s="22">
        <f>(F47-J47)*100*C47</f>
        <v>-268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 spans="1:34" ht="13" x14ac:dyDescent="0.15">
      <c r="A48" s="19">
        <v>45790</v>
      </c>
      <c r="B48" s="20" t="s">
        <v>20</v>
      </c>
      <c r="C48" s="68"/>
      <c r="D48" s="20" t="s">
        <v>31</v>
      </c>
      <c r="E48" s="19"/>
      <c r="F48" s="22">
        <v>67.91</v>
      </c>
      <c r="G48" s="72" t="str">
        <f>IF(J48&gt;F49,"Did not breach BE ✅","breached BE")</f>
        <v>Did not breach BE ✅</v>
      </c>
      <c r="H48" s="68"/>
      <c r="I48" s="68"/>
      <c r="J48" s="22">
        <v>71.45</v>
      </c>
      <c r="K48" s="22">
        <f>(J48-F48)*100*C47</f>
        <v>354.00000000000063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 spans="1:34" ht="13" x14ac:dyDescent="0.15">
      <c r="A49" s="19"/>
      <c r="B49" s="20"/>
      <c r="C49" s="25" t="s">
        <v>43</v>
      </c>
      <c r="D49" s="25" t="s">
        <v>32</v>
      </c>
      <c r="E49" s="19"/>
      <c r="F49" s="22">
        <f>F48-F47</f>
        <v>67.05</v>
      </c>
      <c r="G49" s="23">
        <f>(F49-F48)/F48</f>
        <v>-1.266381976144897E-2</v>
      </c>
      <c r="H49" s="20"/>
      <c r="I49" s="20"/>
      <c r="J49" s="22">
        <f>J48-J47</f>
        <v>67.91</v>
      </c>
      <c r="K49" s="26">
        <f>(J49-F49)*C47*100</f>
        <v>85.999999999999943</v>
      </c>
      <c r="L49" s="23"/>
      <c r="M49" s="23">
        <f>K49/(F48*C47*100)</f>
        <v>1.2663819761448968E-2</v>
      </c>
      <c r="N49" s="20"/>
      <c r="O49" s="22">
        <f>K49-($N$2*2)</f>
        <v>84.67999999999995</v>
      </c>
      <c r="P49" s="20" t="s">
        <v>45</v>
      </c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 spans="1:34" ht="13" x14ac:dyDescent="0.15">
      <c r="A50" s="12"/>
      <c r="B50" s="13"/>
      <c r="C50" s="13"/>
      <c r="D50" s="13"/>
      <c r="E50" s="12"/>
      <c r="F50" s="13"/>
      <c r="G50" s="13"/>
      <c r="H50" s="13"/>
      <c r="I50" s="13"/>
      <c r="J50" s="15"/>
      <c r="K50" s="16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ht="13" x14ac:dyDescent="0.15">
      <c r="A51" s="19">
        <v>45790</v>
      </c>
      <c r="B51" s="20" t="s">
        <v>19</v>
      </c>
      <c r="C51" s="70">
        <v>1</v>
      </c>
      <c r="D51" s="20" t="s">
        <v>46</v>
      </c>
      <c r="E51" s="19">
        <v>45793</v>
      </c>
      <c r="F51" s="22">
        <v>0.56999999999999995</v>
      </c>
      <c r="G51" s="21">
        <f>F51-H51</f>
        <v>9.9999999999998979E-3</v>
      </c>
      <c r="H51" s="21">
        <v>0.56000000000000005</v>
      </c>
      <c r="I51" s="20">
        <v>0.35</v>
      </c>
      <c r="J51" s="22">
        <v>0.35</v>
      </c>
      <c r="K51" s="22">
        <f>(F51-J51)*100*C51</f>
        <v>21.999999999999996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spans="1:34" ht="13" x14ac:dyDescent="0.15">
      <c r="A52" s="19">
        <v>45790</v>
      </c>
      <c r="B52" s="20" t="s">
        <v>19</v>
      </c>
      <c r="C52" s="68"/>
      <c r="D52" s="20" t="s">
        <v>47</v>
      </c>
      <c r="E52" s="19"/>
      <c r="F52" s="22">
        <v>135.16999999999999</v>
      </c>
      <c r="G52" s="72" t="str">
        <f>IF(J52&gt;F53,"Did not breach BE ✅","breached BE")</f>
        <v>Did not breach BE ✅</v>
      </c>
      <c r="H52" s="68"/>
      <c r="I52" s="68"/>
      <c r="J52" s="22">
        <v>135.16999999999999</v>
      </c>
      <c r="K52" s="22">
        <f>(J52-F52)*20*C51</f>
        <v>0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spans="1:34" ht="13" x14ac:dyDescent="0.15">
      <c r="A53" s="19"/>
      <c r="B53" s="20"/>
      <c r="C53" s="25" t="s">
        <v>43</v>
      </c>
      <c r="D53" s="25" t="s">
        <v>32</v>
      </c>
      <c r="E53" s="19"/>
      <c r="F53" s="22">
        <f>F52-F51</f>
        <v>134.6</v>
      </c>
      <c r="G53" s="23">
        <f>(F53-F52)/F52</f>
        <v>-4.2169120366944831E-3</v>
      </c>
      <c r="H53" s="20"/>
      <c r="I53" s="20"/>
      <c r="J53" s="22">
        <f>J52-J51</f>
        <v>134.82</v>
      </c>
      <c r="K53" s="26">
        <f>SUM(K51:K52)-(0.68*C51)</f>
        <v>21.319999999999997</v>
      </c>
      <c r="L53" s="23"/>
      <c r="M53" s="23">
        <f>K53/(F52*C51*100)</f>
        <v>1.5772730635496041E-3</v>
      </c>
      <c r="N53" s="20"/>
      <c r="O53" s="22">
        <f>K53-($N$2*2)</f>
        <v>19.999999999999996</v>
      </c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 spans="1:34" ht="13" x14ac:dyDescent="0.15">
      <c r="A54" s="12"/>
      <c r="B54" s="13"/>
      <c r="C54" s="13"/>
      <c r="D54" s="13"/>
      <c r="E54" s="12"/>
      <c r="F54" s="13"/>
      <c r="G54" s="13"/>
      <c r="H54" s="13"/>
      <c r="I54" s="13"/>
      <c r="J54" s="15"/>
      <c r="K54" s="16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ht="13" x14ac:dyDescent="0.15">
      <c r="A55" s="2" t="s">
        <v>39</v>
      </c>
      <c r="B55" s="35">
        <f>SUM(O56:O82)</f>
        <v>-1072.239999999998</v>
      </c>
      <c r="C55" s="13"/>
      <c r="D55" s="13"/>
      <c r="E55" s="12"/>
      <c r="F55" s="13"/>
      <c r="G55" s="13"/>
      <c r="H55" s="13"/>
      <c r="I55" s="13"/>
      <c r="J55" s="15"/>
      <c r="K55" s="16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ht="13" x14ac:dyDescent="0.15">
      <c r="A56" s="36">
        <v>45796</v>
      </c>
      <c r="B56" s="74" t="s">
        <v>48</v>
      </c>
      <c r="C56" s="75">
        <v>1</v>
      </c>
      <c r="D56" s="37" t="s">
        <v>49</v>
      </c>
      <c r="E56" s="38"/>
      <c r="F56" s="39">
        <v>20.239999999999998</v>
      </c>
      <c r="G56" s="40"/>
      <c r="H56" s="40"/>
      <c r="I56" s="41"/>
      <c r="J56" s="42">
        <v>17.5</v>
      </c>
      <c r="K56" s="39">
        <f>(F56-J56)*100*C56</f>
        <v>273.99999999999983</v>
      </c>
      <c r="L56" s="43"/>
      <c r="M56" s="43"/>
      <c r="N56" s="43"/>
      <c r="O56" s="43"/>
      <c r="P56" s="76" t="s">
        <v>50</v>
      </c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</row>
    <row r="57" spans="1:34" ht="13" x14ac:dyDescent="0.15">
      <c r="A57" s="36">
        <v>45796</v>
      </c>
      <c r="B57" s="68"/>
      <c r="C57" s="68"/>
      <c r="D57" s="37" t="s">
        <v>31</v>
      </c>
      <c r="E57" s="38"/>
      <c r="F57" s="39">
        <v>69.72</v>
      </c>
      <c r="G57" s="75" t="str">
        <f>IF(J57&gt;F58,"Did not breach BE ✅","breached BE")</f>
        <v>Did not breach BE ✅</v>
      </c>
      <c r="H57" s="68"/>
      <c r="I57" s="68"/>
      <c r="J57" s="39">
        <v>65.930000000000007</v>
      </c>
      <c r="K57" s="39">
        <f>(J57-F57)*100*C56</f>
        <v>-378.9999999999992</v>
      </c>
      <c r="L57" s="43"/>
      <c r="M57" s="43"/>
      <c r="N57" s="43"/>
      <c r="O57" s="43"/>
      <c r="P57" s="68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</row>
    <row r="58" spans="1:34" ht="13" x14ac:dyDescent="0.15">
      <c r="A58" s="38"/>
      <c r="B58" s="43"/>
      <c r="C58" s="44" t="s">
        <v>51</v>
      </c>
      <c r="D58" s="44" t="s">
        <v>32</v>
      </c>
      <c r="E58" s="38"/>
      <c r="F58" s="39">
        <f>F57-F56</f>
        <v>49.480000000000004</v>
      </c>
      <c r="G58" s="45">
        <f>(F58-F57)/F57</f>
        <v>-0.29030407343660347</v>
      </c>
      <c r="H58" s="43"/>
      <c r="I58" s="43"/>
      <c r="J58" s="39">
        <f>J57-J56</f>
        <v>48.430000000000007</v>
      </c>
      <c r="K58" s="46">
        <f>(J58-F58)*100</f>
        <v>-104.99999999999972</v>
      </c>
      <c r="L58" s="45"/>
      <c r="M58" s="45">
        <f>K58/(F57*C56*100)</f>
        <v>-1.5060240963855382E-2</v>
      </c>
      <c r="N58" s="47"/>
      <c r="O58" s="42">
        <f>K58-($N$2*2)</f>
        <v>-106.31999999999971</v>
      </c>
      <c r="P58" s="68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</row>
    <row r="59" spans="1:34" ht="13" x14ac:dyDescent="0.15">
      <c r="A59" s="12"/>
      <c r="B59" s="13"/>
      <c r="C59" s="13"/>
      <c r="D59" s="13"/>
      <c r="E59" s="12"/>
      <c r="F59" s="13"/>
      <c r="G59" s="13"/>
      <c r="H59" s="13"/>
      <c r="I59" s="13"/>
      <c r="J59" s="15"/>
      <c r="K59" s="16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1:34" ht="13" x14ac:dyDescent="0.15">
      <c r="A60" s="48">
        <v>45796</v>
      </c>
      <c r="B60" s="77" t="s">
        <v>48</v>
      </c>
      <c r="C60" s="77">
        <v>1</v>
      </c>
      <c r="D60" s="47" t="s">
        <v>52</v>
      </c>
      <c r="E60" s="48"/>
      <c r="F60" s="42">
        <v>17.489999999999998</v>
      </c>
      <c r="G60" s="49">
        <f>F60-H60</f>
        <v>17.41</v>
      </c>
      <c r="H60" s="49">
        <v>0.08</v>
      </c>
      <c r="I60" s="50"/>
      <c r="J60" s="42">
        <v>13.475</v>
      </c>
      <c r="K60" s="42">
        <f>(F60-J60)*100*C60</f>
        <v>401.49999999999989</v>
      </c>
      <c r="L60" s="47"/>
      <c r="M60" s="47"/>
      <c r="N60" s="43"/>
      <c r="O60" s="47"/>
      <c r="P60" s="76" t="s">
        <v>50</v>
      </c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</row>
    <row r="61" spans="1:34" ht="13" x14ac:dyDescent="0.15">
      <c r="A61" s="48">
        <v>45796</v>
      </c>
      <c r="B61" s="68"/>
      <c r="C61" s="68"/>
      <c r="D61" s="47" t="s">
        <v>31</v>
      </c>
      <c r="E61" s="48"/>
      <c r="F61" s="42">
        <v>70.47</v>
      </c>
      <c r="G61" s="78" t="str">
        <f>IF(J61&gt;F62,"Did not breach BE ✅","breached BE")</f>
        <v>Did not breach BE ✅</v>
      </c>
      <c r="H61" s="68"/>
      <c r="I61" s="68"/>
      <c r="J61" s="39">
        <f>J57</f>
        <v>65.930000000000007</v>
      </c>
      <c r="K61" s="42">
        <f>(J61-F61)*100*C60</f>
        <v>-453.9999999999992</v>
      </c>
      <c r="L61" s="47"/>
      <c r="M61" s="47"/>
      <c r="N61" s="43"/>
      <c r="O61" s="47"/>
      <c r="P61" s="68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</row>
    <row r="62" spans="1:34" ht="13" x14ac:dyDescent="0.15">
      <c r="A62" s="48"/>
      <c r="B62" s="47"/>
      <c r="C62" s="51" t="s">
        <v>51</v>
      </c>
      <c r="D62" s="51" t="s">
        <v>32</v>
      </c>
      <c r="E62" s="48"/>
      <c r="F62" s="42">
        <f>F61-F60</f>
        <v>52.980000000000004</v>
      </c>
      <c r="G62" s="50">
        <f>(F62-F61)/F61</f>
        <v>-0.24819071945508719</v>
      </c>
      <c r="H62" s="47"/>
      <c r="I62" s="47"/>
      <c r="J62" s="42">
        <f>J61-J60</f>
        <v>52.455000000000005</v>
      </c>
      <c r="K62" s="46">
        <f>(J62-F62)*100</f>
        <v>-52.499999999999858</v>
      </c>
      <c r="L62" s="50"/>
      <c r="M62" s="50">
        <f>K62/(F61*C60*100)</f>
        <v>-7.4499787143465102E-3</v>
      </c>
      <c r="N62" s="47"/>
      <c r="O62" s="42">
        <f>K62-($N$2*2)</f>
        <v>-53.819999999999858</v>
      </c>
      <c r="P62" s="68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</row>
    <row r="63" spans="1:34" ht="13" x14ac:dyDescent="0.15">
      <c r="A63" s="12"/>
      <c r="B63" s="13"/>
      <c r="C63" s="13"/>
      <c r="D63" s="13"/>
      <c r="E63" s="12"/>
      <c r="F63" s="13"/>
      <c r="G63" s="13"/>
      <c r="H63" s="13"/>
      <c r="I63" s="13"/>
      <c r="J63" s="15"/>
      <c r="K63" s="16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1:34" ht="13" x14ac:dyDescent="0.15">
      <c r="A64" s="48">
        <v>45796</v>
      </c>
      <c r="B64" s="77" t="s">
        <v>48</v>
      </c>
      <c r="C64" s="77">
        <v>1</v>
      </c>
      <c r="D64" s="47" t="s">
        <v>53</v>
      </c>
      <c r="E64" s="48"/>
      <c r="F64" s="42">
        <v>12.04</v>
      </c>
      <c r="G64" s="49"/>
      <c r="H64" s="49">
        <v>0.13</v>
      </c>
      <c r="I64" s="50"/>
      <c r="J64" s="42">
        <v>8.8249999999999993</v>
      </c>
      <c r="K64" s="42">
        <f>(F64-J64)*100*C64</f>
        <v>321.5</v>
      </c>
      <c r="L64" s="47"/>
      <c r="M64" s="47"/>
      <c r="N64" s="43"/>
      <c r="O64" s="47"/>
      <c r="P64" s="76" t="s">
        <v>50</v>
      </c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</row>
    <row r="65" spans="1:34" ht="13" x14ac:dyDescent="0.15">
      <c r="A65" s="48">
        <v>45796</v>
      </c>
      <c r="B65" s="68"/>
      <c r="C65" s="68"/>
      <c r="D65" s="47" t="s">
        <v>31</v>
      </c>
      <c r="E65" s="48"/>
      <c r="F65" s="42">
        <v>69.95</v>
      </c>
      <c r="G65" s="78" t="str">
        <f>IF(J65&gt;F66,"Did not breach BE ✅","breached BE")</f>
        <v>Did not breach BE ✅</v>
      </c>
      <c r="H65" s="68"/>
      <c r="I65" s="68"/>
      <c r="J65" s="39">
        <f>J61</f>
        <v>65.930000000000007</v>
      </c>
      <c r="K65" s="42">
        <f>(J65-F65)*100*C64</f>
        <v>-401.9999999999996</v>
      </c>
      <c r="L65" s="47"/>
      <c r="M65" s="47"/>
      <c r="N65" s="43"/>
      <c r="O65" s="47"/>
      <c r="P65" s="68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</row>
    <row r="66" spans="1:34" ht="13" x14ac:dyDescent="0.15">
      <c r="A66" s="48"/>
      <c r="B66" s="47"/>
      <c r="C66" s="51" t="s">
        <v>51</v>
      </c>
      <c r="D66" s="51" t="s">
        <v>32</v>
      </c>
      <c r="E66" s="48"/>
      <c r="F66" s="42">
        <f>F65-F64</f>
        <v>57.910000000000004</v>
      </c>
      <c r="G66" s="50">
        <f>(F66-F65)/F65</f>
        <v>-0.1721229449606862</v>
      </c>
      <c r="H66" s="47"/>
      <c r="I66" s="47"/>
      <c r="J66" s="42">
        <f>J65-J64</f>
        <v>57.105000000000004</v>
      </c>
      <c r="K66" s="46">
        <f>(J66-F66)*100</f>
        <v>-80.499999999999972</v>
      </c>
      <c r="L66" s="50"/>
      <c r="M66" s="50">
        <f>K66/(F65*C64*100)</f>
        <v>-1.1508220157255179E-2</v>
      </c>
      <c r="N66" s="47"/>
      <c r="O66" s="42">
        <f>K66-($N$2*2)</f>
        <v>-81.819999999999965</v>
      </c>
      <c r="P66" s="68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</row>
    <row r="67" spans="1:34" ht="13" x14ac:dyDescent="0.15">
      <c r="A67" s="12"/>
      <c r="B67" s="13"/>
      <c r="C67" s="13"/>
      <c r="D67" s="13"/>
      <c r="E67" s="12"/>
      <c r="F67" s="13"/>
      <c r="G67" s="13"/>
      <c r="H67" s="13"/>
      <c r="I67" s="13"/>
      <c r="J67" s="15"/>
      <c r="K67" s="16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ht="13" x14ac:dyDescent="0.15">
      <c r="A68" s="19">
        <v>45796</v>
      </c>
      <c r="B68" s="70" t="s">
        <v>54</v>
      </c>
      <c r="C68" s="70">
        <v>1</v>
      </c>
      <c r="D68" s="20" t="s">
        <v>55</v>
      </c>
      <c r="E68" s="19"/>
      <c r="F68" s="22">
        <v>4.79</v>
      </c>
      <c r="G68" s="21"/>
      <c r="H68" s="21">
        <v>0.83</v>
      </c>
      <c r="I68" s="23"/>
      <c r="J68" s="22">
        <v>3.4</v>
      </c>
      <c r="K68" s="22">
        <f>(F68-J68)*100*C68</f>
        <v>139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 spans="1:34" ht="13" x14ac:dyDescent="0.15">
      <c r="A69" s="19">
        <v>45796</v>
      </c>
      <c r="B69" s="68"/>
      <c r="C69" s="68"/>
      <c r="D69" s="20" t="s">
        <v>31</v>
      </c>
      <c r="E69" s="19"/>
      <c r="F69" s="22">
        <v>70.86</v>
      </c>
      <c r="G69" s="72" t="str">
        <f>IF(J69&gt;F70,"Did not breach BE ✅","breached BE")</f>
        <v>Did not breach BE ✅</v>
      </c>
      <c r="H69" s="68"/>
      <c r="I69" s="68"/>
      <c r="J69" s="52">
        <v>69.650000000000006</v>
      </c>
      <c r="K69" s="22">
        <f>(J69-F69)*100*C68</f>
        <v>-120.99999999999937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spans="1:34" ht="13" x14ac:dyDescent="0.15">
      <c r="A70" s="19"/>
      <c r="B70" s="20"/>
      <c r="C70" s="25" t="s">
        <v>51</v>
      </c>
      <c r="D70" s="25" t="s">
        <v>32</v>
      </c>
      <c r="E70" s="19"/>
      <c r="F70" s="22">
        <f>F69-F68</f>
        <v>66.069999999999993</v>
      </c>
      <c r="G70" s="23">
        <f>(F70-F69)/F69</f>
        <v>-6.7598080722551593E-2</v>
      </c>
      <c r="H70" s="20"/>
      <c r="I70" s="20"/>
      <c r="J70" s="22">
        <f>J69-J68</f>
        <v>66.25</v>
      </c>
      <c r="K70" s="26">
        <f>(J70-F70)*C68*100</f>
        <v>18.000000000000682</v>
      </c>
      <c r="L70" s="23"/>
      <c r="M70" s="23">
        <f>K70/(F69*C68*100)</f>
        <v>2.5402201524133052E-3</v>
      </c>
      <c r="N70" s="20"/>
      <c r="O70" s="22">
        <f>K70-($N$2*2)</f>
        <v>16.680000000000682</v>
      </c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spans="1:34" ht="13" x14ac:dyDescent="0.15">
      <c r="A71" s="12"/>
      <c r="B71" s="13"/>
      <c r="C71" s="13"/>
      <c r="D71" s="13"/>
      <c r="E71" s="12"/>
      <c r="F71" s="13"/>
      <c r="G71" s="13"/>
      <c r="H71" s="13"/>
      <c r="I71" s="13"/>
      <c r="J71" s="15"/>
      <c r="K71" s="16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ht="13" x14ac:dyDescent="0.15">
      <c r="A72" s="79">
        <v>45797</v>
      </c>
      <c r="B72" s="67" t="s">
        <v>48</v>
      </c>
      <c r="C72" s="67">
        <v>1</v>
      </c>
      <c r="D72" s="29" t="s">
        <v>56</v>
      </c>
      <c r="E72" s="28"/>
      <c r="F72" s="32">
        <v>1.01</v>
      </c>
      <c r="G72" s="30"/>
      <c r="H72" s="30">
        <v>1.01</v>
      </c>
      <c r="I72" s="31"/>
      <c r="J72" s="32">
        <v>0.02</v>
      </c>
      <c r="K72" s="32">
        <f>(F72-J72)*100*C72</f>
        <v>99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</row>
    <row r="73" spans="1:34" ht="13" x14ac:dyDescent="0.15">
      <c r="A73" s="68"/>
      <c r="B73" s="68"/>
      <c r="C73" s="68"/>
      <c r="D73" s="29" t="s">
        <v>31</v>
      </c>
      <c r="E73" s="28"/>
      <c r="F73" s="32">
        <v>70.400000000000006</v>
      </c>
      <c r="G73" s="80" t="str">
        <f>IF(J73&gt;F74,"Did not breach BE ✅","breached BE")</f>
        <v>breached BE</v>
      </c>
      <c r="H73" s="68"/>
      <c r="I73" s="68"/>
      <c r="J73" s="53">
        <v>66.28</v>
      </c>
      <c r="K73" s="32">
        <f>(J73-F73)*100*C72</f>
        <v>-412.00000000000045</v>
      </c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</row>
    <row r="74" spans="1:34" ht="13" x14ac:dyDescent="0.15">
      <c r="A74" s="68"/>
      <c r="B74" s="29"/>
      <c r="C74" s="33" t="s">
        <v>43</v>
      </c>
      <c r="D74" s="33" t="s">
        <v>32</v>
      </c>
      <c r="E74" s="28"/>
      <c r="F74" s="32">
        <f>F73-F72</f>
        <v>69.39</v>
      </c>
      <c r="G74" s="31">
        <f>(F74-F73)/F73</f>
        <v>-1.4346590909090981E-2</v>
      </c>
      <c r="H74" s="29"/>
      <c r="I74" s="29"/>
      <c r="J74" s="32">
        <f>J73-J72</f>
        <v>66.260000000000005</v>
      </c>
      <c r="K74" s="34">
        <f>(J74-F74)*100</f>
        <v>-312.99999999999955</v>
      </c>
      <c r="L74" s="31"/>
      <c r="M74" s="31">
        <f>K74/(F73*C72*100)</f>
        <v>-4.44602272727272E-2</v>
      </c>
      <c r="N74" s="29"/>
      <c r="O74" s="32">
        <f>K74-($N$2*2)</f>
        <v>-314.31999999999954</v>
      </c>
      <c r="P74" s="29" t="s">
        <v>57</v>
      </c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</row>
    <row r="75" spans="1:34" ht="13" x14ac:dyDescent="0.15">
      <c r="A75" s="12"/>
      <c r="B75" s="13"/>
      <c r="C75" s="13"/>
      <c r="D75" s="13"/>
      <c r="E75" s="12"/>
      <c r="F75" s="13"/>
      <c r="G75" s="13"/>
      <c r="H75" s="13"/>
      <c r="I75" s="13"/>
      <c r="J75" s="15"/>
      <c r="K75" s="16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1:34" ht="13" x14ac:dyDescent="0.15">
      <c r="A76" s="28">
        <v>45796</v>
      </c>
      <c r="B76" s="67" t="s">
        <v>48</v>
      </c>
      <c r="C76" s="67">
        <v>1</v>
      </c>
      <c r="D76" s="29" t="s">
        <v>58</v>
      </c>
      <c r="E76" s="28"/>
      <c r="F76" s="32">
        <v>0.81</v>
      </c>
      <c r="G76" s="30"/>
      <c r="H76" s="30">
        <v>0.81</v>
      </c>
      <c r="I76" s="31"/>
      <c r="J76" s="32">
        <v>0.01</v>
      </c>
      <c r="K76" s="32">
        <f>(F76-J76)*100*C76</f>
        <v>80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</row>
    <row r="77" spans="1:34" ht="13" x14ac:dyDescent="0.15">
      <c r="A77" s="28">
        <v>45796</v>
      </c>
      <c r="B77" s="68"/>
      <c r="C77" s="68"/>
      <c r="D77" s="29" t="s">
        <v>31</v>
      </c>
      <c r="E77" s="28"/>
      <c r="F77" s="32">
        <v>70.86</v>
      </c>
      <c r="G77" s="80" t="str">
        <f>IF(J77&gt;F78,"Did not breach BE ✅","breached BE")</f>
        <v>breached BE</v>
      </c>
      <c r="H77" s="68"/>
      <c r="I77" s="68"/>
      <c r="J77" s="53">
        <v>66.11</v>
      </c>
      <c r="K77" s="32">
        <f>(J77-F77)*100*C76</f>
        <v>-475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</row>
    <row r="78" spans="1:34" ht="13" x14ac:dyDescent="0.15">
      <c r="A78" s="28"/>
      <c r="B78" s="29"/>
      <c r="C78" s="33" t="s">
        <v>43</v>
      </c>
      <c r="D78" s="33" t="s">
        <v>32</v>
      </c>
      <c r="E78" s="28"/>
      <c r="F78" s="32">
        <f>F77-F76</f>
        <v>70.05</v>
      </c>
      <c r="G78" s="31">
        <f>(F78-F77)/F77</f>
        <v>-1.1430990685859474E-2</v>
      </c>
      <c r="H78" s="32">
        <f>F78+(G78*F78)</f>
        <v>69.24925910245554</v>
      </c>
      <c r="I78" s="29"/>
      <c r="J78" s="32">
        <f>J77-J76</f>
        <v>66.099999999999994</v>
      </c>
      <c r="K78" s="34">
        <f>(J78-F78)*C76*100</f>
        <v>-395.00000000000028</v>
      </c>
      <c r="L78" s="31"/>
      <c r="M78" s="31">
        <f>K78/(F77*C76*100)</f>
        <v>-5.574372001128991E-2</v>
      </c>
      <c r="N78" s="29"/>
      <c r="O78" s="32">
        <f>K78-($N$2*2)</f>
        <v>-396.32000000000028</v>
      </c>
      <c r="P78" s="29" t="s">
        <v>57</v>
      </c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</row>
    <row r="79" spans="1:34" ht="13" x14ac:dyDescent="0.15">
      <c r="A79" s="12"/>
      <c r="B79" s="13"/>
      <c r="C79" s="13"/>
      <c r="D79" s="13"/>
      <c r="E79" s="12"/>
      <c r="F79" s="13"/>
      <c r="G79" s="13"/>
      <c r="H79" s="13"/>
      <c r="I79" s="13"/>
      <c r="J79" s="15"/>
      <c r="K79" s="16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 ht="13" x14ac:dyDescent="0.15">
      <c r="A80" s="28">
        <v>45796</v>
      </c>
      <c r="B80" s="67" t="s">
        <v>54</v>
      </c>
      <c r="C80" s="67">
        <v>1</v>
      </c>
      <c r="D80" s="29" t="s">
        <v>59</v>
      </c>
      <c r="E80" s="28"/>
      <c r="F80" s="32">
        <v>2.92</v>
      </c>
      <c r="G80" s="30"/>
      <c r="H80" s="30">
        <v>0.77</v>
      </c>
      <c r="I80" s="31"/>
      <c r="J80" s="32">
        <v>0.01</v>
      </c>
      <c r="K80" s="32">
        <f>(F80-J80)*100*C80</f>
        <v>291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</row>
    <row r="81" spans="1:34" ht="13" x14ac:dyDescent="0.15">
      <c r="A81" s="28">
        <v>45796</v>
      </c>
      <c r="B81" s="68"/>
      <c r="C81" s="68"/>
      <c r="D81" s="29" t="s">
        <v>31</v>
      </c>
      <c r="E81" s="28"/>
      <c r="F81" s="32">
        <v>70.19</v>
      </c>
      <c r="G81" s="80" t="str">
        <f>IF(J81&gt;F82,"Did not breach BE ✅","breached BE")</f>
        <v>breached BE</v>
      </c>
      <c r="H81" s="68"/>
      <c r="I81" s="68"/>
      <c r="J81" s="53">
        <v>65.930000000000007</v>
      </c>
      <c r="K81" s="32">
        <f>(J81-F81)*100*C80</f>
        <v>-425.99999999999909</v>
      </c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</row>
    <row r="82" spans="1:34" ht="13" x14ac:dyDescent="0.15">
      <c r="A82" s="28"/>
      <c r="B82" s="29"/>
      <c r="C82" s="33" t="s">
        <v>51</v>
      </c>
      <c r="D82" s="33" t="s">
        <v>32</v>
      </c>
      <c r="E82" s="28"/>
      <c r="F82" s="32">
        <f>F81-F80</f>
        <v>67.27</v>
      </c>
      <c r="G82" s="31">
        <f>(F82-F81)/F81</f>
        <v>-4.1601367716198913E-2</v>
      </c>
      <c r="H82" s="29"/>
      <c r="I82" s="29"/>
      <c r="J82" s="32">
        <f>J81-J80</f>
        <v>65.92</v>
      </c>
      <c r="K82" s="34">
        <f>(J82-F82)*100</f>
        <v>-134.99999999999943</v>
      </c>
      <c r="L82" s="31"/>
      <c r="M82" s="31">
        <f>K82/(F81*C80*100)</f>
        <v>-1.9233509046872693E-2</v>
      </c>
      <c r="N82" s="29"/>
      <c r="O82" s="32">
        <f>K82-($N$2*2)</f>
        <v>-136.31999999999942</v>
      </c>
      <c r="P82" s="29" t="s">
        <v>57</v>
      </c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</row>
    <row r="83" spans="1:34" ht="13" x14ac:dyDescent="0.15">
      <c r="A83" s="12"/>
      <c r="B83" s="13"/>
      <c r="C83" s="13"/>
      <c r="D83" s="13"/>
      <c r="E83" s="12"/>
      <c r="F83" s="13"/>
      <c r="G83" s="13"/>
      <c r="H83" s="13"/>
      <c r="I83" s="13"/>
      <c r="J83" s="15"/>
      <c r="K83" s="16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ht="13" x14ac:dyDescent="0.15">
      <c r="A84" s="2" t="s">
        <v>39</v>
      </c>
      <c r="B84" s="13"/>
      <c r="C84" s="13"/>
      <c r="D84" s="13"/>
      <c r="E84" s="12"/>
      <c r="F84" s="13"/>
      <c r="G84" s="13"/>
      <c r="H84" s="13"/>
      <c r="I84" s="13"/>
      <c r="J84" s="15"/>
      <c r="K84" s="16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ht="13" x14ac:dyDescent="0.15">
      <c r="A85" s="82">
        <v>45800</v>
      </c>
      <c r="B85" s="70" t="s">
        <v>48</v>
      </c>
      <c r="C85" s="70">
        <v>5</v>
      </c>
      <c r="D85" s="20" t="s">
        <v>60</v>
      </c>
      <c r="E85" s="20">
        <v>30</v>
      </c>
      <c r="F85" s="22">
        <v>15.58</v>
      </c>
      <c r="G85" s="21"/>
      <c r="H85" s="21">
        <v>1.73</v>
      </c>
      <c r="I85" s="23"/>
      <c r="J85" s="22">
        <v>14.55</v>
      </c>
      <c r="K85" s="22">
        <f>(F85-J85)*100*C85</f>
        <v>514.99999999999977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 spans="1:34" ht="13" x14ac:dyDescent="0.15">
      <c r="A86" s="68"/>
      <c r="B86" s="68"/>
      <c r="C86" s="68"/>
      <c r="D86" s="20" t="s">
        <v>61</v>
      </c>
      <c r="E86" s="19"/>
      <c r="F86" s="22">
        <v>142.72</v>
      </c>
      <c r="G86" s="72" t="str">
        <f>IF(J86&gt;F87,"Did not breach BE ✅","breached BE")</f>
        <v>Did not breach BE ✅</v>
      </c>
      <c r="H86" s="68"/>
      <c r="I86" s="68"/>
      <c r="J86" s="52">
        <v>143.26</v>
      </c>
      <c r="K86" s="22">
        <f>(J86-F86)*100*C85</f>
        <v>269.99999999999602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spans="1:34" ht="13" x14ac:dyDescent="0.15">
      <c r="A87" s="68"/>
      <c r="B87" s="20"/>
      <c r="C87" s="25" t="s">
        <v>62</v>
      </c>
      <c r="D87" s="25" t="s">
        <v>32</v>
      </c>
      <c r="E87" s="19"/>
      <c r="F87" s="22">
        <f>F86-F85</f>
        <v>127.14</v>
      </c>
      <c r="G87" s="23">
        <f>(F87-F86)/F86</f>
        <v>-0.10916479820627802</v>
      </c>
      <c r="H87" s="20"/>
      <c r="I87" s="20"/>
      <c r="J87" s="22">
        <f>J86-J85</f>
        <v>128.70999999999998</v>
      </c>
      <c r="K87" s="26">
        <f>(J87-F87)*100</f>
        <v>156.9999999999979</v>
      </c>
      <c r="L87" s="23"/>
      <c r="M87" s="23">
        <f>K87/(F86*C85*100)</f>
        <v>2.2001121076232889E-3</v>
      </c>
      <c r="N87" s="20"/>
      <c r="O87" s="22">
        <f>K87-($N$2*2)</f>
        <v>155.6799999999979</v>
      </c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 spans="1:34" ht="13" x14ac:dyDescent="0.15">
      <c r="A88" s="12"/>
      <c r="B88" s="13"/>
      <c r="C88" s="13"/>
      <c r="D88" s="13"/>
      <c r="E88" s="12"/>
      <c r="F88" s="13"/>
      <c r="G88" s="13"/>
      <c r="H88" s="13"/>
      <c r="I88" s="13"/>
      <c r="J88" s="15"/>
      <c r="K88" s="16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ht="13" x14ac:dyDescent="0.15">
      <c r="A89" s="69">
        <v>45800</v>
      </c>
      <c r="B89" s="70" t="s">
        <v>48</v>
      </c>
      <c r="C89" s="70">
        <v>1</v>
      </c>
      <c r="D89" s="20" t="s">
        <v>63</v>
      </c>
      <c r="E89" s="19"/>
      <c r="F89" s="22">
        <v>7.24</v>
      </c>
      <c r="G89" s="21"/>
      <c r="H89" s="21">
        <v>0.15</v>
      </c>
      <c r="I89" s="23"/>
      <c r="J89" s="22">
        <v>9.9499999999999993</v>
      </c>
      <c r="K89" s="22">
        <f>(F89-J89)*100*C89</f>
        <v>-270.99999999999989</v>
      </c>
      <c r="L89" s="20"/>
      <c r="M89" s="20"/>
      <c r="N89" s="54"/>
      <c r="O89" s="20"/>
      <c r="P89" s="81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 spans="1:34" ht="13" x14ac:dyDescent="0.15">
      <c r="A90" s="68"/>
      <c r="B90" s="68"/>
      <c r="C90" s="68"/>
      <c r="D90" s="20" t="s">
        <v>31</v>
      </c>
      <c r="E90" s="19"/>
      <c r="F90" s="22">
        <v>65.45</v>
      </c>
      <c r="G90" s="72" t="str">
        <f>IF(J90&gt;F91,"Did not breach BE ✅","breached BE")</f>
        <v>Did not breach BE ✅</v>
      </c>
      <c r="H90" s="68"/>
      <c r="I90" s="68"/>
      <c r="J90" s="52">
        <v>68.77</v>
      </c>
      <c r="K90" s="22">
        <f>(J90-F90)*100*C89</f>
        <v>331.99999999999932</v>
      </c>
      <c r="L90" s="20"/>
      <c r="M90" s="20"/>
      <c r="N90" s="54"/>
      <c r="O90" s="20"/>
      <c r="P90" s="68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spans="1:34" ht="13" x14ac:dyDescent="0.15">
      <c r="A91" s="19"/>
      <c r="B91" s="20"/>
      <c r="C91" s="25" t="s">
        <v>51</v>
      </c>
      <c r="D91" s="25" t="s">
        <v>32</v>
      </c>
      <c r="E91" s="19"/>
      <c r="F91" s="22">
        <f>F90-F89</f>
        <v>58.21</v>
      </c>
      <c r="G91" s="23">
        <f>(F91-F90)/F90</f>
        <v>-0.11061879297173417</v>
      </c>
      <c r="H91" s="20"/>
      <c r="I91" s="20"/>
      <c r="J91" s="22">
        <f>J90-J89</f>
        <v>58.819999999999993</v>
      </c>
      <c r="K91" s="26">
        <f>(J91-F91)*C89*100</f>
        <v>60.999999999999233</v>
      </c>
      <c r="L91" s="23"/>
      <c r="M91" s="23">
        <f>K91/(F90*C89*100)</f>
        <v>9.3200916730327328E-3</v>
      </c>
      <c r="N91" s="20"/>
      <c r="O91" s="22">
        <f>K91-($N$2*2)</f>
        <v>59.679999999999232</v>
      </c>
      <c r="P91" s="68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 spans="1:34" ht="13" x14ac:dyDescent="0.15">
      <c r="A92" s="12"/>
      <c r="B92" s="13"/>
      <c r="C92" s="13"/>
      <c r="D92" s="13"/>
      <c r="E92" s="12"/>
      <c r="F92" s="13"/>
      <c r="G92" s="13"/>
      <c r="H92" s="13"/>
      <c r="I92" s="13"/>
      <c r="J92" s="15"/>
      <c r="K92" s="16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ht="13" x14ac:dyDescent="0.15">
      <c r="A93" s="69">
        <v>45800</v>
      </c>
      <c r="B93" s="70" t="s">
        <v>48</v>
      </c>
      <c r="C93" s="70">
        <v>2</v>
      </c>
      <c r="D93" s="20" t="s">
        <v>64</v>
      </c>
      <c r="E93" s="19">
        <v>45807</v>
      </c>
      <c r="F93" s="22">
        <v>0.79</v>
      </c>
      <c r="G93" s="21"/>
      <c r="H93" s="21">
        <v>0.79</v>
      </c>
      <c r="I93" s="23"/>
      <c r="J93" s="22">
        <v>0.21</v>
      </c>
      <c r="K93" s="22">
        <f>(F93-J93)*100*C93</f>
        <v>116.00000000000001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spans="1:34" ht="13" x14ac:dyDescent="0.15">
      <c r="A94" s="68"/>
      <c r="B94" s="68"/>
      <c r="C94" s="68"/>
      <c r="D94" s="20" t="s">
        <v>31</v>
      </c>
      <c r="E94" s="20" t="s">
        <v>65</v>
      </c>
      <c r="F94" s="22">
        <v>66.2</v>
      </c>
      <c r="G94" s="72" t="str">
        <f>IF(J94&gt;F95,"Did not breach BE ✅","breached BE")</f>
        <v>Did not breach BE ✅</v>
      </c>
      <c r="H94" s="68"/>
      <c r="I94" s="68"/>
      <c r="J94" s="52">
        <v>69.92</v>
      </c>
      <c r="K94" s="22">
        <f>(J94-F94)*100*C93</f>
        <v>743.99999999999977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spans="1:34" ht="13" x14ac:dyDescent="0.15">
      <c r="A95" s="19"/>
      <c r="B95" s="20"/>
      <c r="C95" s="25" t="s">
        <v>43</v>
      </c>
      <c r="D95" s="25" t="s">
        <v>32</v>
      </c>
      <c r="E95" s="19"/>
      <c r="F95" s="22">
        <f>F94-F93</f>
        <v>65.41</v>
      </c>
      <c r="G95" s="23">
        <f>(F95-F94)/F94</f>
        <v>-1.1933534743202511E-2</v>
      </c>
      <c r="H95" s="20"/>
      <c r="I95" s="20"/>
      <c r="J95" s="22">
        <f>J94-J93</f>
        <v>69.710000000000008</v>
      </c>
      <c r="K95" s="26">
        <f>(J95-F95)*C93*100</f>
        <v>860.00000000000227</v>
      </c>
      <c r="L95" s="23"/>
      <c r="M95" s="23">
        <f>K95/(F94*C93*100)</f>
        <v>6.495468277945636E-2</v>
      </c>
      <c r="N95" s="20"/>
      <c r="O95" s="22">
        <f>K95-($N$2*2)</f>
        <v>858.68000000000222</v>
      </c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 spans="1:34" ht="13" x14ac:dyDescent="0.15">
      <c r="A96" s="12"/>
      <c r="B96" s="13"/>
      <c r="C96" s="13"/>
      <c r="D96" s="13"/>
      <c r="E96" s="12"/>
      <c r="F96" s="13"/>
      <c r="G96" s="13"/>
      <c r="H96" s="13"/>
      <c r="I96" s="13"/>
      <c r="J96" s="15"/>
      <c r="K96" s="16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ht="13" x14ac:dyDescent="0.15">
      <c r="A97" s="2" t="s">
        <v>39</v>
      </c>
      <c r="B97" s="13"/>
      <c r="C97" s="13"/>
      <c r="D97" s="13"/>
      <c r="E97" s="12"/>
      <c r="F97" s="13"/>
      <c r="G97" s="13"/>
      <c r="H97" s="13"/>
      <c r="I97" s="13"/>
      <c r="J97" s="15"/>
      <c r="K97" s="16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ht="13" x14ac:dyDescent="0.15">
      <c r="A98" s="69">
        <v>45804</v>
      </c>
      <c r="B98" s="70" t="s">
        <v>48</v>
      </c>
      <c r="C98" s="70">
        <v>6</v>
      </c>
      <c r="D98" s="20" t="s">
        <v>66</v>
      </c>
      <c r="E98" s="19">
        <v>45814</v>
      </c>
      <c r="F98" s="22">
        <v>6.39</v>
      </c>
      <c r="G98" s="21"/>
      <c r="H98" s="21">
        <v>0.72</v>
      </c>
      <c r="I98" s="23"/>
      <c r="J98" s="22">
        <v>10.9</v>
      </c>
      <c r="K98" s="22">
        <f>(F98-J98)*100*C98</f>
        <v>-2706.0000000000005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spans="1:34" ht="13" x14ac:dyDescent="0.15">
      <c r="A99" s="68"/>
      <c r="B99" s="68"/>
      <c r="C99" s="68"/>
      <c r="D99" s="20" t="s">
        <v>31</v>
      </c>
      <c r="E99" s="20" t="s">
        <v>67</v>
      </c>
      <c r="F99" s="22">
        <v>69.296700000000001</v>
      </c>
      <c r="G99" s="72" t="str">
        <f>IF(J99&gt;F100,"Did not breach BE ✅","breached BE")</f>
        <v>Did not breach BE ✅</v>
      </c>
      <c r="H99" s="68"/>
      <c r="I99" s="68"/>
      <c r="J99" s="52">
        <v>74.55</v>
      </c>
      <c r="K99" s="22">
        <f>(J99-F99)*100*C98</f>
        <v>3151.9799999999977</v>
      </c>
      <c r="L99" s="20"/>
      <c r="M99" s="20"/>
      <c r="N99" s="20"/>
      <c r="O99" s="20"/>
      <c r="P99" s="20"/>
      <c r="Q99" s="27">
        <v>45778</v>
      </c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 spans="1:34" ht="13" x14ac:dyDescent="0.15">
      <c r="A100" s="19"/>
      <c r="B100" s="20"/>
      <c r="C100" s="25" t="s">
        <v>51</v>
      </c>
      <c r="D100" s="25" t="s">
        <v>32</v>
      </c>
      <c r="E100" s="19"/>
      <c r="F100" s="22">
        <f>F99-F98</f>
        <v>62.906700000000001</v>
      </c>
      <c r="G100" s="23">
        <f>(F100-F99)/F99</f>
        <v>-9.2212183264138131E-2</v>
      </c>
      <c r="H100" s="20"/>
      <c r="I100" s="20"/>
      <c r="J100" s="22">
        <f>J99-J98</f>
        <v>63.65</v>
      </c>
      <c r="K100" s="26">
        <f>(J100-F100)*C98*100</f>
        <v>445.97999999999871</v>
      </c>
      <c r="L100" s="23"/>
      <c r="M100" s="23">
        <f>K100/(F99*C98*100)</f>
        <v>1.0726340503948929E-2</v>
      </c>
      <c r="N100" s="20"/>
      <c r="O100" s="22">
        <f>K100-($N$2*2)</f>
        <v>444.65999999999872</v>
      </c>
      <c r="P100" s="20"/>
      <c r="Q100" s="22">
        <f>SUM(O28:O100)</f>
        <v>1369.9400000000046</v>
      </c>
      <c r="R100" s="23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spans="1:34" ht="15" customHeight="1" x14ac:dyDescent="0.15">
      <c r="A101" s="12"/>
      <c r="B101" s="13"/>
      <c r="C101" s="13"/>
      <c r="D101" s="13"/>
      <c r="E101" s="12"/>
      <c r="F101" s="13"/>
      <c r="G101" s="13"/>
      <c r="H101" s="13"/>
      <c r="I101" s="13"/>
      <c r="J101" s="15"/>
      <c r="K101" s="16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ht="13" x14ac:dyDescent="0.15">
      <c r="A102" s="2" t="s">
        <v>39</v>
      </c>
      <c r="B102" s="13"/>
      <c r="C102" s="13"/>
      <c r="D102" s="13"/>
      <c r="E102" s="12"/>
      <c r="F102" s="13"/>
      <c r="G102" s="13"/>
      <c r="H102" s="13"/>
      <c r="I102" s="13"/>
      <c r="J102" s="15"/>
      <c r="K102" s="16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ht="13" x14ac:dyDescent="0.15">
      <c r="A103" s="69">
        <v>45821</v>
      </c>
      <c r="B103" s="70" t="s">
        <v>48</v>
      </c>
      <c r="C103" s="70">
        <v>6</v>
      </c>
      <c r="D103" s="20" t="s">
        <v>68</v>
      </c>
      <c r="E103" s="19">
        <v>45828</v>
      </c>
      <c r="F103" s="22">
        <v>6.69</v>
      </c>
      <c r="G103" s="21"/>
      <c r="H103" s="21">
        <v>0.8</v>
      </c>
      <c r="I103" s="23"/>
      <c r="J103" s="22">
        <v>3.2450000000000001</v>
      </c>
      <c r="K103" s="22">
        <f>(F103-J103)*100*C103</f>
        <v>2067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spans="1:34" ht="13" x14ac:dyDescent="0.15">
      <c r="A104" s="68"/>
      <c r="B104" s="68"/>
      <c r="C104" s="68"/>
      <c r="D104" s="20" t="s">
        <v>31</v>
      </c>
      <c r="E104" s="20" t="s">
        <v>69</v>
      </c>
      <c r="F104" s="22">
        <v>74.989999999999995</v>
      </c>
      <c r="G104" s="72" t="str">
        <f>IF(J104&gt;F105,"Did not breach BE ✅","breached BE")</f>
        <v>Did not breach BE ✅</v>
      </c>
      <c r="H104" s="68"/>
      <c r="I104" s="68"/>
      <c r="J104" s="52">
        <v>72.52</v>
      </c>
      <c r="K104" s="22">
        <f>(J104-F104)*100*C103</f>
        <v>-1481.9999999999993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1:34" ht="13" x14ac:dyDescent="0.15">
      <c r="A105" s="19"/>
      <c r="B105" s="20"/>
      <c r="C105" s="25" t="s">
        <v>51</v>
      </c>
      <c r="D105" s="25" t="s">
        <v>32</v>
      </c>
      <c r="E105" s="19"/>
      <c r="F105" s="22">
        <f>F104-F103</f>
        <v>68.3</v>
      </c>
      <c r="G105" s="23">
        <f>(F105-F104)/F104</f>
        <v>-8.9211894919322549E-2</v>
      </c>
      <c r="H105" s="20"/>
      <c r="I105" s="20"/>
      <c r="J105" s="22">
        <f>J104-J103</f>
        <v>69.274999999999991</v>
      </c>
      <c r="K105" s="26">
        <f>(J105-F105)*C103*100</f>
        <v>584.99999999999659</v>
      </c>
      <c r="L105" s="23"/>
      <c r="M105" s="23">
        <f>K105/(F104*C103*100)</f>
        <v>1.300173356447519E-2</v>
      </c>
      <c r="N105" s="20"/>
      <c r="O105" s="22">
        <f>K105-($N$2*2)</f>
        <v>583.67999999999654</v>
      </c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spans="1:34" ht="13" x14ac:dyDescent="0.15">
      <c r="A106" s="12"/>
      <c r="B106" s="13"/>
      <c r="C106" s="13"/>
      <c r="D106" s="13"/>
      <c r="E106" s="12"/>
      <c r="F106" s="13"/>
      <c r="G106" s="13"/>
      <c r="H106" s="13"/>
      <c r="I106" s="13"/>
      <c r="J106" s="15"/>
      <c r="K106" s="16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spans="1:34" ht="13" x14ac:dyDescent="0.15">
      <c r="A107" s="2" t="s">
        <v>39</v>
      </c>
      <c r="B107" s="13"/>
      <c r="C107" s="13"/>
      <c r="D107" s="13"/>
      <c r="E107" s="12"/>
      <c r="F107" s="13"/>
      <c r="G107" s="13"/>
      <c r="H107" s="13"/>
      <c r="I107" s="13"/>
      <c r="J107" s="15"/>
      <c r="K107" s="16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spans="1:34" ht="13" x14ac:dyDescent="0.15">
      <c r="A108" s="69">
        <v>45832</v>
      </c>
      <c r="B108" s="70" t="s">
        <v>48</v>
      </c>
      <c r="C108" s="70">
        <v>7</v>
      </c>
      <c r="D108" s="20" t="s">
        <v>64</v>
      </c>
      <c r="E108" s="19">
        <v>45841</v>
      </c>
      <c r="F108" s="22">
        <v>6.73</v>
      </c>
      <c r="G108" s="21"/>
      <c r="H108" s="21">
        <v>0.4</v>
      </c>
      <c r="I108" s="23"/>
      <c r="J108" s="22">
        <v>10.54</v>
      </c>
      <c r="K108" s="22">
        <f>(F108-J108)*100*C108</f>
        <v>-2666.9999999999991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 spans="1:34" ht="13" x14ac:dyDescent="0.15">
      <c r="A109" s="68"/>
      <c r="B109" s="68"/>
      <c r="C109" s="68"/>
      <c r="D109" s="20" t="s">
        <v>31</v>
      </c>
      <c r="E109" s="20"/>
      <c r="F109" s="22">
        <v>77.150000000000006</v>
      </c>
      <c r="G109" s="72" t="str">
        <f>IF(J109&gt;F110,"Did not breach BE ✅","breached BE")</f>
        <v>Did not breach BE ✅</v>
      </c>
      <c r="H109" s="68"/>
      <c r="I109" s="68"/>
      <c r="J109" s="52">
        <v>81.400000000000006</v>
      </c>
      <c r="K109" s="22">
        <f>(J109-F109)*100*C108</f>
        <v>2975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 spans="1:34" ht="13" x14ac:dyDescent="0.15">
      <c r="A110" s="19"/>
      <c r="B110" s="20"/>
      <c r="C110" s="25" t="s">
        <v>51</v>
      </c>
      <c r="D110" s="25" t="s">
        <v>32</v>
      </c>
      <c r="E110" s="19"/>
      <c r="F110" s="22">
        <f>F109-F108</f>
        <v>70.42</v>
      </c>
      <c r="G110" s="23">
        <f>(F110-F109)/F109</f>
        <v>-8.723266364225539E-2</v>
      </c>
      <c r="H110" s="20"/>
      <c r="I110" s="20"/>
      <c r="J110" s="22">
        <f>J109-J108</f>
        <v>70.860000000000014</v>
      </c>
      <c r="K110" s="26">
        <f>(J110-F110)*C108*100</f>
        <v>308.00000000000836</v>
      </c>
      <c r="L110" s="23"/>
      <c r="M110" s="23">
        <f>K110/(F109*C108*100)</f>
        <v>5.7031756318860908E-3</v>
      </c>
      <c r="N110" s="20"/>
      <c r="O110" s="22">
        <f>K110-($N$2*2)</f>
        <v>306.68000000000836</v>
      </c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 spans="1:34" ht="13" x14ac:dyDescent="0.15">
      <c r="A111" s="12"/>
      <c r="B111" s="13"/>
      <c r="C111" s="13"/>
      <c r="D111" s="13"/>
      <c r="E111" s="12"/>
      <c r="F111" s="13"/>
      <c r="G111" s="13"/>
      <c r="H111" s="13"/>
      <c r="I111" s="13"/>
      <c r="J111" s="15"/>
      <c r="K111" s="16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1:34" ht="13" x14ac:dyDescent="0.15">
      <c r="A112" s="2" t="s">
        <v>39</v>
      </c>
      <c r="B112" s="13"/>
      <c r="C112" s="13"/>
      <c r="D112" s="13"/>
      <c r="E112" s="12"/>
      <c r="F112" s="13"/>
      <c r="G112" s="13"/>
      <c r="H112" s="13"/>
      <c r="I112" s="13"/>
      <c r="J112" s="15"/>
      <c r="K112" s="16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ht="13" x14ac:dyDescent="0.15">
      <c r="A113" s="69">
        <v>45832</v>
      </c>
      <c r="B113" s="70" t="s">
        <v>48</v>
      </c>
      <c r="C113" s="70">
        <v>7</v>
      </c>
      <c r="D113" s="20" t="s">
        <v>56</v>
      </c>
      <c r="E113" s="19">
        <v>45841</v>
      </c>
      <c r="F113" s="22">
        <v>10.01</v>
      </c>
      <c r="G113" s="21"/>
      <c r="H113" s="21">
        <v>0.6</v>
      </c>
      <c r="I113" s="23"/>
      <c r="J113" s="22">
        <v>10.99</v>
      </c>
      <c r="K113" s="22">
        <f>(F113-J113)*100*C113</f>
        <v>-686.00000000000034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 spans="1:34" ht="13" x14ac:dyDescent="0.15">
      <c r="A114" s="68"/>
      <c r="B114" s="68"/>
      <c r="C114" s="68"/>
      <c r="D114" s="20" t="s">
        <v>31</v>
      </c>
      <c r="E114" s="20"/>
      <c r="F114" s="22">
        <v>81.36</v>
      </c>
      <c r="G114" s="72" t="str">
        <f>IF(J114&gt;F115,"Did not breach BE ✅","breached BE")</f>
        <v>Did not breach BE ✅</v>
      </c>
      <c r="H114" s="68"/>
      <c r="I114" s="68"/>
      <c r="J114" s="52">
        <v>82.87</v>
      </c>
      <c r="K114" s="22">
        <f>(J114-F114)*100*C113</f>
        <v>1057.0000000000036</v>
      </c>
      <c r="L114" s="20"/>
      <c r="M114" s="20"/>
      <c r="N114" s="20"/>
      <c r="O114" s="20"/>
      <c r="P114" s="20"/>
      <c r="Q114" s="27">
        <v>45809</v>
      </c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spans="1:34" ht="13" x14ac:dyDescent="0.15">
      <c r="A115" s="19"/>
      <c r="B115" s="20"/>
      <c r="C115" s="25" t="s">
        <v>51</v>
      </c>
      <c r="D115" s="25" t="s">
        <v>32</v>
      </c>
      <c r="E115" s="19"/>
      <c r="F115" s="22">
        <f>F114-F113</f>
        <v>71.349999999999994</v>
      </c>
      <c r="G115" s="23">
        <f>(F115-F114)/F114</f>
        <v>-0.12303343166175031</v>
      </c>
      <c r="H115" s="20"/>
      <c r="I115" s="20"/>
      <c r="J115" s="22">
        <f>J114-J113</f>
        <v>71.88000000000001</v>
      </c>
      <c r="K115" s="26">
        <f>(J115-F115)*C113*100</f>
        <v>371.00000000001074</v>
      </c>
      <c r="L115" s="23"/>
      <c r="M115" s="23">
        <f>K115/(F114*C113*100)</f>
        <v>6.5142576204524991E-3</v>
      </c>
      <c r="N115" s="20"/>
      <c r="O115" s="22">
        <f>K115-($N$2*2)</f>
        <v>369.68000000001075</v>
      </c>
      <c r="P115" s="20"/>
      <c r="Q115" s="22">
        <f>SUM(O105:O115)</f>
        <v>1260.0400000000157</v>
      </c>
      <c r="R115" s="23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spans="1:34" ht="13" x14ac:dyDescent="0.15">
      <c r="A116" s="12"/>
      <c r="B116" s="13"/>
      <c r="C116" s="13"/>
      <c r="D116" s="13"/>
      <c r="E116" s="12"/>
      <c r="F116" s="13"/>
      <c r="G116" s="13"/>
      <c r="H116" s="13"/>
      <c r="I116" s="13"/>
      <c r="J116" s="15"/>
      <c r="K116" s="16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ht="13" x14ac:dyDescent="0.15">
      <c r="A117" s="2" t="s">
        <v>39</v>
      </c>
      <c r="B117" s="13"/>
      <c r="C117" s="13"/>
      <c r="D117" s="13"/>
      <c r="E117" s="12"/>
      <c r="F117" s="13"/>
      <c r="G117" s="13"/>
      <c r="H117" s="13"/>
      <c r="I117" s="13"/>
      <c r="J117" s="15"/>
      <c r="K117" s="16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 ht="13" x14ac:dyDescent="0.15">
      <c r="A118" s="69">
        <v>45846</v>
      </c>
      <c r="B118" s="70" t="s">
        <v>48</v>
      </c>
      <c r="C118" s="70">
        <v>1</v>
      </c>
      <c r="D118" s="20" t="s">
        <v>70</v>
      </c>
      <c r="E118" s="19">
        <v>45856</v>
      </c>
      <c r="F118" s="22">
        <v>10.130000000000001</v>
      </c>
      <c r="G118" s="21"/>
      <c r="H118" s="21">
        <f>K120/C118/100</f>
        <v>0.49999999999998579</v>
      </c>
      <c r="I118" s="23"/>
      <c r="J118" s="22">
        <v>10.79</v>
      </c>
      <c r="K118" s="22">
        <f>(F118-J118)*100*C118</f>
        <v>-65.999999999999829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 spans="1:34" ht="13" x14ac:dyDescent="0.15">
      <c r="A119" s="68"/>
      <c r="B119" s="68"/>
      <c r="C119" s="68"/>
      <c r="D119" s="20" t="s">
        <v>31</v>
      </c>
      <c r="E119" s="20"/>
      <c r="F119" s="22">
        <v>82.39</v>
      </c>
      <c r="G119" s="72" t="str">
        <f>IF(J119&gt;F120,"Did not breach BE ✅","breached BE")</f>
        <v>Did not breach BE ✅</v>
      </c>
      <c r="H119" s="68"/>
      <c r="I119" s="68"/>
      <c r="J119" s="52">
        <v>83.55</v>
      </c>
      <c r="K119" s="22">
        <f>(J119-F119)*100*C118</f>
        <v>115.99999999999966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 spans="1:34" ht="13" x14ac:dyDescent="0.15">
      <c r="A120" s="19"/>
      <c r="B120" s="20"/>
      <c r="C120" s="25" t="s">
        <v>51</v>
      </c>
      <c r="D120" s="25" t="s">
        <v>32</v>
      </c>
      <c r="E120" s="19"/>
      <c r="F120" s="22">
        <f>F119-F118</f>
        <v>72.260000000000005</v>
      </c>
      <c r="G120" s="23">
        <f>(F120-F119)/F119</f>
        <v>-0.12295181454059953</v>
      </c>
      <c r="H120" s="20"/>
      <c r="I120" s="20"/>
      <c r="J120" s="22">
        <f>J119-J118</f>
        <v>72.759999999999991</v>
      </c>
      <c r="K120" s="26">
        <f>(J120-F120)*C118*100</f>
        <v>49.999999999998579</v>
      </c>
      <c r="L120" s="23"/>
      <c r="M120" s="23">
        <f>K120/(F119*C118*100)</f>
        <v>6.0686976574825316E-3</v>
      </c>
      <c r="N120" s="20"/>
      <c r="O120" s="22">
        <f>K120-($N$2*2)</f>
        <v>48.679999999998579</v>
      </c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 spans="1:34" ht="13" x14ac:dyDescent="0.15">
      <c r="A121" s="12"/>
      <c r="B121" s="13"/>
      <c r="C121" s="13"/>
      <c r="D121" s="13"/>
      <c r="E121" s="12"/>
      <c r="F121" s="13"/>
      <c r="G121" s="13"/>
      <c r="H121" s="13"/>
      <c r="I121" s="13"/>
      <c r="J121" s="15"/>
      <c r="K121" s="16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1:34" ht="13" x14ac:dyDescent="0.15">
      <c r="A122" s="69">
        <v>45848</v>
      </c>
      <c r="B122" s="70" t="s">
        <v>48</v>
      </c>
      <c r="C122" s="70">
        <v>7</v>
      </c>
      <c r="D122" s="20" t="s">
        <v>71</v>
      </c>
      <c r="E122" s="19">
        <v>45856</v>
      </c>
      <c r="F122" s="22">
        <v>7.38</v>
      </c>
      <c r="G122" s="21"/>
      <c r="H122" s="21">
        <f>K124/C122/100</f>
        <v>0.20999999999999375</v>
      </c>
      <c r="I122" s="23"/>
      <c r="J122" s="22">
        <v>6.91</v>
      </c>
      <c r="K122" s="22">
        <f>(F122-J122)*100*C122</f>
        <v>328.99999999999977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 spans="1:34" ht="13" x14ac:dyDescent="0.15">
      <c r="A123" s="68"/>
      <c r="B123" s="68"/>
      <c r="C123" s="68"/>
      <c r="D123" s="20" t="s">
        <v>31</v>
      </c>
      <c r="E123" s="20"/>
      <c r="F123" s="22">
        <v>83.87</v>
      </c>
      <c r="G123" s="72" t="str">
        <f>IF(J123&gt;F124,"Did not breach BE ✅","breached BE")</f>
        <v>Did not breach BE ✅</v>
      </c>
      <c r="H123" s="68"/>
      <c r="I123" s="68"/>
      <c r="J123" s="52">
        <v>83.61</v>
      </c>
      <c r="K123" s="22">
        <f>(J123-F123)*100*C122</f>
        <v>-182.00000000000358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 spans="1:34" ht="13" x14ac:dyDescent="0.15">
      <c r="A124" s="19"/>
      <c r="B124" s="20"/>
      <c r="C124" s="25" t="s">
        <v>51</v>
      </c>
      <c r="D124" s="25" t="s">
        <v>32</v>
      </c>
      <c r="E124" s="19"/>
      <c r="F124" s="22">
        <f>F123-F122</f>
        <v>76.490000000000009</v>
      </c>
      <c r="G124" s="23">
        <f>(F124-F123)/F123</f>
        <v>-8.7993322999880705E-2</v>
      </c>
      <c r="H124" s="20"/>
      <c r="I124" s="20"/>
      <c r="J124" s="22">
        <f>J123-J122</f>
        <v>76.7</v>
      </c>
      <c r="K124" s="26">
        <f>(J124-F124)*C122*100</f>
        <v>146.99999999999562</v>
      </c>
      <c r="L124" s="23"/>
      <c r="M124" s="23">
        <f>K124/(F123*C122*100)</f>
        <v>2.5038750447119798E-3</v>
      </c>
      <c r="N124" s="20"/>
      <c r="O124" s="22">
        <f>K124-($N$2*2)</f>
        <v>145.67999999999563</v>
      </c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 spans="1:34" ht="13" x14ac:dyDescent="0.15">
      <c r="A125" s="12"/>
      <c r="B125" s="13"/>
      <c r="C125" s="13"/>
      <c r="D125" s="13"/>
      <c r="E125" s="12"/>
      <c r="F125" s="13"/>
      <c r="G125" s="13"/>
      <c r="H125" s="13"/>
      <c r="I125" s="13"/>
      <c r="J125" s="15"/>
      <c r="K125" s="16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spans="1:34" ht="13" x14ac:dyDescent="0.15">
      <c r="A126" s="2" t="s">
        <v>39</v>
      </c>
      <c r="B126" s="13"/>
      <c r="C126" s="13"/>
      <c r="D126" s="13"/>
      <c r="E126" s="12"/>
      <c r="F126" s="13"/>
      <c r="G126" s="13"/>
      <c r="H126" s="13"/>
      <c r="I126" s="13"/>
      <c r="J126" s="15"/>
      <c r="K126" s="16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spans="1:34" ht="13" x14ac:dyDescent="0.15">
      <c r="A127" s="69">
        <v>45852</v>
      </c>
      <c r="B127" s="70" t="s">
        <v>48</v>
      </c>
      <c r="C127" s="70">
        <v>4</v>
      </c>
      <c r="D127" s="20" t="s">
        <v>72</v>
      </c>
      <c r="E127" s="19">
        <v>45863</v>
      </c>
      <c r="F127" s="22">
        <v>8.5299999999999994</v>
      </c>
      <c r="G127" s="21"/>
      <c r="H127" s="21">
        <v>0.78</v>
      </c>
      <c r="I127" s="23"/>
      <c r="J127" s="22">
        <v>11.26</v>
      </c>
      <c r="K127" s="22">
        <f>(F127-J127)*100*C127</f>
        <v>-1092.0000000000002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</row>
    <row r="128" spans="1:34" ht="13" x14ac:dyDescent="0.15">
      <c r="A128" s="68"/>
      <c r="B128" s="68"/>
      <c r="C128" s="68"/>
      <c r="D128" s="20" t="s">
        <v>31</v>
      </c>
      <c r="E128" s="20"/>
      <c r="F128" s="22">
        <v>83.79</v>
      </c>
      <c r="G128" s="72" t="str">
        <f>IF(J128&gt;F129,"Did not breach BE ✅","breached BE")</f>
        <v>Did not breach BE ✅</v>
      </c>
      <c r="H128" s="68"/>
      <c r="I128" s="68"/>
      <c r="J128" s="52">
        <v>87.01</v>
      </c>
      <c r="K128" s="22">
        <f>(J128-F128)*100*C127</f>
        <v>1287.9999999999995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</row>
    <row r="129" spans="1:34" ht="13" x14ac:dyDescent="0.15">
      <c r="A129" s="19"/>
      <c r="B129" s="20"/>
      <c r="C129" s="25" t="s">
        <v>51</v>
      </c>
      <c r="D129" s="25" t="s">
        <v>32</v>
      </c>
      <c r="E129" s="19"/>
      <c r="F129" s="22">
        <f>F128-F127</f>
        <v>75.260000000000005</v>
      </c>
      <c r="G129" s="23">
        <f>(F129-F128)/F128</f>
        <v>-0.10180212435851534</v>
      </c>
      <c r="H129" s="20"/>
      <c r="I129" s="20"/>
      <c r="J129" s="22">
        <f>J128-J127</f>
        <v>75.75</v>
      </c>
      <c r="K129" s="26">
        <f>(J129-F129)*C127*100</f>
        <v>195.99999999999795</v>
      </c>
      <c r="L129" s="23"/>
      <c r="M129" s="23">
        <f>K129/(F128*C127*100)</f>
        <v>5.847953216374208E-3</v>
      </c>
      <c r="N129" s="20"/>
      <c r="O129" s="22">
        <f>K129-($N$2*2)</f>
        <v>194.67999999999796</v>
      </c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</row>
    <row r="130" spans="1:34" ht="13" x14ac:dyDescent="0.15">
      <c r="A130" s="12"/>
      <c r="B130" s="13"/>
      <c r="C130" s="13"/>
      <c r="D130" s="13"/>
      <c r="E130" s="12"/>
      <c r="F130" s="13"/>
      <c r="G130" s="13"/>
      <c r="H130" s="13"/>
      <c r="I130" s="13"/>
      <c r="J130" s="15"/>
      <c r="K130" s="16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spans="1:34" ht="13" x14ac:dyDescent="0.15">
      <c r="A131" s="69">
        <v>45852</v>
      </c>
      <c r="B131" s="70" t="s">
        <v>48</v>
      </c>
      <c r="C131" s="70">
        <v>3</v>
      </c>
      <c r="D131" s="20" t="s">
        <v>72</v>
      </c>
      <c r="E131" s="19">
        <v>45863</v>
      </c>
      <c r="F131" s="22">
        <v>8.5299999999999994</v>
      </c>
      <c r="G131" s="21"/>
      <c r="H131" s="21">
        <v>0.78</v>
      </c>
      <c r="I131" s="23"/>
      <c r="J131" s="22">
        <v>12.55</v>
      </c>
      <c r="K131" s="22">
        <f>(F131-J131)*100*C131</f>
        <v>-1206.0000000000005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</row>
    <row r="132" spans="1:34" ht="13" x14ac:dyDescent="0.15">
      <c r="A132" s="68"/>
      <c r="B132" s="68"/>
      <c r="C132" s="68"/>
      <c r="D132" s="20" t="s">
        <v>31</v>
      </c>
      <c r="E132" s="20"/>
      <c r="F132" s="22">
        <v>83.79</v>
      </c>
      <c r="G132" s="72" t="str">
        <f>IF(J132&gt;F133,"Did not breach BE ✅","breached BE")</f>
        <v>Did not breach BE ✅</v>
      </c>
      <c r="H132" s="68"/>
      <c r="I132" s="68"/>
      <c r="J132" s="52">
        <v>88.46</v>
      </c>
      <c r="K132" s="22">
        <f>(J132-F132)*100*C131</f>
        <v>1400.9999999999964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</row>
    <row r="133" spans="1:34" ht="13" x14ac:dyDescent="0.15">
      <c r="A133" s="19"/>
      <c r="B133" s="20"/>
      <c r="C133" s="25" t="s">
        <v>51</v>
      </c>
      <c r="D133" s="25" t="s">
        <v>32</v>
      </c>
      <c r="E133" s="19"/>
      <c r="F133" s="22">
        <f>F132-F131</f>
        <v>75.260000000000005</v>
      </c>
      <c r="G133" s="23">
        <f>(F133-F132)/F132</f>
        <v>-0.10180212435851534</v>
      </c>
      <c r="H133" s="20"/>
      <c r="I133" s="20"/>
      <c r="J133" s="22">
        <f>J132-J131</f>
        <v>75.91</v>
      </c>
      <c r="K133" s="26">
        <f>(J133-F133)*C131*100</f>
        <v>194.99999999999744</v>
      </c>
      <c r="L133" s="23"/>
      <c r="M133" s="23">
        <f>K133/(F132*C131*100)</f>
        <v>7.7574889604963776E-3</v>
      </c>
      <c r="N133" s="20"/>
      <c r="O133" s="22">
        <f>K133-($N$2*2)</f>
        <v>193.67999999999745</v>
      </c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</row>
    <row r="134" spans="1:34" ht="13" x14ac:dyDescent="0.15">
      <c r="A134" s="12"/>
      <c r="B134" s="13"/>
      <c r="C134" s="13"/>
      <c r="D134" s="13"/>
      <c r="E134" s="12"/>
      <c r="F134" s="13"/>
      <c r="G134" s="13"/>
      <c r="H134" s="13"/>
      <c r="I134" s="13"/>
      <c r="J134" s="15"/>
      <c r="K134" s="16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spans="1:34" ht="13" x14ac:dyDescent="0.15">
      <c r="A135" s="71">
        <v>45856</v>
      </c>
      <c r="B135" s="67" t="s">
        <v>48</v>
      </c>
      <c r="C135" s="67">
        <v>1</v>
      </c>
      <c r="D135" s="29" t="s">
        <v>73</v>
      </c>
      <c r="E135" s="28">
        <v>45863</v>
      </c>
      <c r="F135" s="32">
        <v>12.59</v>
      </c>
      <c r="G135" s="30"/>
      <c r="H135" s="30">
        <v>0.5</v>
      </c>
      <c r="I135" s="31"/>
      <c r="J135" s="32">
        <v>13.025</v>
      </c>
      <c r="K135" s="32">
        <f>(F135-J135)*100*C135</f>
        <v>-43.50000000000005</v>
      </c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</row>
    <row r="136" spans="1:34" ht="13" x14ac:dyDescent="0.15">
      <c r="A136" s="68"/>
      <c r="B136" s="68"/>
      <c r="C136" s="68"/>
      <c r="D136" s="29" t="s">
        <v>31</v>
      </c>
      <c r="E136" s="29"/>
      <c r="F136" s="32">
        <v>87.98</v>
      </c>
      <c r="G136" s="73" t="str">
        <f>IF(J136&gt;F137,"Did not breach BE ✅","breached BE")</f>
        <v>Did not breach BE ✅</v>
      </c>
      <c r="H136" s="68"/>
      <c r="I136" s="68"/>
      <c r="J136" s="53">
        <v>88.5</v>
      </c>
      <c r="K136" s="32">
        <f>(J136-F136)*100*C135</f>
        <v>51.999999999999602</v>
      </c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</row>
    <row r="137" spans="1:34" ht="13" x14ac:dyDescent="0.15">
      <c r="A137" s="28"/>
      <c r="B137" s="29"/>
      <c r="C137" s="33" t="s">
        <v>51</v>
      </c>
      <c r="D137" s="33" t="s">
        <v>32</v>
      </c>
      <c r="E137" s="28"/>
      <c r="F137" s="32">
        <f>F136-F135</f>
        <v>75.39</v>
      </c>
      <c r="G137" s="31">
        <f>(F137-F136)/F136</f>
        <v>-0.14310070470561495</v>
      </c>
      <c r="H137" s="29"/>
      <c r="I137" s="29"/>
      <c r="J137" s="32">
        <f>J136-J135</f>
        <v>75.474999999999994</v>
      </c>
      <c r="K137" s="34">
        <f>(J137-F137)*C135*100</f>
        <v>8.4999999999993747</v>
      </c>
      <c r="L137" s="31"/>
      <c r="M137" s="31">
        <f>K137/(F136*C135*100)</f>
        <v>9.6612866560574849E-4</v>
      </c>
      <c r="N137" s="29"/>
      <c r="O137" s="32">
        <f>K137-($N$2*2)</f>
        <v>7.1799999999993744</v>
      </c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</row>
    <row r="138" spans="1:34" ht="13" x14ac:dyDescent="0.15">
      <c r="A138" s="12"/>
      <c r="B138" s="13"/>
      <c r="C138" s="13"/>
      <c r="D138" s="13"/>
      <c r="E138" s="12"/>
      <c r="F138" s="13"/>
      <c r="G138" s="13"/>
      <c r="H138" s="13"/>
      <c r="I138" s="13"/>
      <c r="J138" s="15"/>
      <c r="K138" s="16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spans="1:34" ht="13" x14ac:dyDescent="0.15">
      <c r="A139" s="2" t="s">
        <v>39</v>
      </c>
      <c r="B139" s="13"/>
      <c r="C139" s="13"/>
      <c r="D139" s="13"/>
      <c r="E139" s="12"/>
      <c r="F139" s="13"/>
      <c r="G139" s="13"/>
      <c r="H139" s="13"/>
      <c r="I139" s="13"/>
      <c r="J139" s="15"/>
      <c r="K139" s="16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spans="1:34" ht="13" x14ac:dyDescent="0.15">
      <c r="A140" s="69">
        <v>45863</v>
      </c>
      <c r="B140" s="70" t="s">
        <v>48</v>
      </c>
      <c r="C140" s="70">
        <v>3</v>
      </c>
      <c r="D140" s="20" t="s">
        <v>74</v>
      </c>
      <c r="E140" s="19">
        <v>45870</v>
      </c>
      <c r="F140" s="22">
        <v>10.42</v>
      </c>
      <c r="G140" s="21"/>
      <c r="H140" s="21">
        <v>0.69</v>
      </c>
      <c r="I140" s="23"/>
      <c r="J140" s="22">
        <v>8.3800000000000008</v>
      </c>
      <c r="K140" s="22">
        <f>(F140-J140)*100*C140</f>
        <v>611.99999999999977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</row>
    <row r="141" spans="1:34" ht="13" x14ac:dyDescent="0.15">
      <c r="A141" s="68"/>
      <c r="B141" s="68"/>
      <c r="C141" s="68"/>
      <c r="D141" s="20" t="s">
        <v>31</v>
      </c>
      <c r="E141" s="20"/>
      <c r="F141" s="22">
        <v>88.74</v>
      </c>
      <c r="G141" s="72" t="str">
        <f>IF(J141&gt;F142,"Did not breach BE ✅","breached BE")</f>
        <v>Did not breach BE ✅</v>
      </c>
      <c r="H141" s="68"/>
      <c r="I141" s="68"/>
      <c r="J141" s="52">
        <v>87.06</v>
      </c>
      <c r="K141" s="22">
        <f>(J141-F141)*100*C140</f>
        <v>-503.99999999999778</v>
      </c>
      <c r="L141" s="20"/>
      <c r="M141" s="20"/>
      <c r="N141" s="20"/>
      <c r="O141" s="20"/>
      <c r="P141" s="20"/>
      <c r="Q141" s="27">
        <v>45839</v>
      </c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</row>
    <row r="142" spans="1:34" ht="13" x14ac:dyDescent="0.15">
      <c r="A142" s="19"/>
      <c r="B142" s="20"/>
      <c r="C142" s="25" t="s">
        <v>51</v>
      </c>
      <c r="D142" s="25" t="s">
        <v>32</v>
      </c>
      <c r="E142" s="19"/>
      <c r="F142" s="22">
        <f>F141-F140</f>
        <v>78.319999999999993</v>
      </c>
      <c r="G142" s="23">
        <f>(F142-F141)/F141</f>
        <v>-0.11742168131620467</v>
      </c>
      <c r="H142" s="20"/>
      <c r="I142" s="20"/>
      <c r="J142" s="22">
        <f>J141-J140</f>
        <v>78.680000000000007</v>
      </c>
      <c r="K142" s="26">
        <f>(J142-F142)*C140*100</f>
        <v>108.00000000000409</v>
      </c>
      <c r="L142" s="23"/>
      <c r="M142" s="23">
        <f>K142/(F141*C140*100)</f>
        <v>4.0567951318459961E-3</v>
      </c>
      <c r="N142" s="20"/>
      <c r="O142" s="22">
        <f>K142-($N$2*2)</f>
        <v>106.6800000000041</v>
      </c>
      <c r="P142" s="20"/>
      <c r="Q142" s="20">
        <f>SUM(O119:O142)</f>
        <v>696.57999999999311</v>
      </c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</row>
    <row r="143" spans="1:34" ht="13" x14ac:dyDescent="0.15">
      <c r="A143" s="12"/>
      <c r="B143" s="13"/>
      <c r="C143" s="13"/>
      <c r="D143" s="13"/>
      <c r="E143" s="12"/>
      <c r="F143" s="13"/>
      <c r="G143" s="13"/>
      <c r="H143" s="13"/>
      <c r="I143" s="13"/>
      <c r="J143" s="15"/>
      <c r="K143" s="16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 spans="1:34" ht="13" x14ac:dyDescent="0.15">
      <c r="A144" s="69">
        <v>45870</v>
      </c>
      <c r="B144" s="70" t="s">
        <v>48</v>
      </c>
      <c r="C144" s="70">
        <v>1</v>
      </c>
      <c r="D144" s="20" t="s">
        <v>75</v>
      </c>
      <c r="E144" s="19">
        <v>45877</v>
      </c>
      <c r="F144" s="22">
        <v>6.66</v>
      </c>
      <c r="G144" s="21"/>
      <c r="H144" s="21">
        <v>1.01</v>
      </c>
      <c r="I144" s="23"/>
      <c r="J144" s="22">
        <v>7.76</v>
      </c>
      <c r="K144" s="22">
        <f>(F144-J144)*100*C144</f>
        <v>-109.99999999999997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</row>
    <row r="145" spans="1:34" ht="13" x14ac:dyDescent="0.15">
      <c r="A145" s="68"/>
      <c r="B145" s="68"/>
      <c r="C145" s="68"/>
      <c r="D145" s="20" t="s">
        <v>31</v>
      </c>
      <c r="E145" s="20"/>
      <c r="F145" s="22">
        <v>84.17</v>
      </c>
      <c r="G145" s="72" t="str">
        <f>IF(J145&gt;F146,"Did not breach BE ✅","breached BE")</f>
        <v>Did not breach BE ✅</v>
      </c>
      <c r="H145" s="68"/>
      <c r="I145" s="68"/>
      <c r="J145" s="52">
        <v>85.79</v>
      </c>
      <c r="K145" s="22">
        <f>(J145-F145)*100*C144</f>
        <v>162.00000000000045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</row>
    <row r="146" spans="1:34" ht="13" x14ac:dyDescent="0.15">
      <c r="A146" s="19"/>
      <c r="B146" s="20"/>
      <c r="C146" s="25" t="s">
        <v>51</v>
      </c>
      <c r="D146" s="25" t="s">
        <v>32</v>
      </c>
      <c r="E146" s="19"/>
      <c r="F146" s="22">
        <f>F145-F144</f>
        <v>77.510000000000005</v>
      </c>
      <c r="G146" s="23">
        <f>(F146-F145)/F145</f>
        <v>-7.9125579184982725E-2</v>
      </c>
      <c r="H146" s="20"/>
      <c r="I146" s="20"/>
      <c r="J146" s="22">
        <f>J145-J144</f>
        <v>78.03</v>
      </c>
      <c r="K146" s="26">
        <f>(J146-F146)*C144*100</f>
        <v>51.999999999999602</v>
      </c>
      <c r="L146" s="23"/>
      <c r="M146" s="23">
        <f>K146/(F145*C144*100)</f>
        <v>6.1779731495781873E-3</v>
      </c>
      <c r="N146" s="20"/>
      <c r="O146" s="22">
        <f>K146-($N$2*2)</f>
        <v>50.679999999999602</v>
      </c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</row>
    <row r="147" spans="1:34" ht="13" x14ac:dyDescent="0.15">
      <c r="A147" s="12"/>
      <c r="B147" s="13"/>
      <c r="C147" s="13"/>
      <c r="D147" s="13"/>
      <c r="E147" s="12"/>
      <c r="F147" s="13"/>
      <c r="G147" s="13"/>
      <c r="H147" s="13"/>
      <c r="I147" s="13"/>
      <c r="J147" s="15"/>
      <c r="K147" s="16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spans="1:34" ht="13" x14ac:dyDescent="0.15">
      <c r="A148" s="2" t="s">
        <v>39</v>
      </c>
      <c r="B148" s="13"/>
      <c r="C148" s="13"/>
      <c r="D148" s="13"/>
      <c r="E148" s="12"/>
      <c r="F148" s="13"/>
      <c r="G148" s="13"/>
      <c r="H148" s="13"/>
      <c r="I148" s="13"/>
      <c r="J148" s="15"/>
      <c r="K148" s="16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spans="1:34" ht="13" x14ac:dyDescent="0.15">
      <c r="A149" s="69">
        <v>45873</v>
      </c>
      <c r="B149" s="70" t="s">
        <v>48</v>
      </c>
      <c r="C149" s="70">
        <v>1</v>
      </c>
      <c r="D149" s="20" t="s">
        <v>76</v>
      </c>
      <c r="E149" s="19">
        <v>45884</v>
      </c>
      <c r="F149" s="22">
        <v>11.71</v>
      </c>
      <c r="G149" s="21"/>
      <c r="H149" s="21">
        <v>0.77</v>
      </c>
      <c r="I149" s="23"/>
      <c r="J149" s="22">
        <v>17</v>
      </c>
      <c r="K149" s="22">
        <f>(F149-J149)*100*C149</f>
        <v>-528.99999999999989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 spans="1:34" ht="13" x14ac:dyDescent="0.15">
      <c r="A150" s="68"/>
      <c r="B150" s="68"/>
      <c r="C150" s="68"/>
      <c r="D150" s="20" t="s">
        <v>31</v>
      </c>
      <c r="E150" s="20"/>
      <c r="F150" s="22">
        <v>85.98</v>
      </c>
      <c r="G150" s="72" t="str">
        <f>IF(J150&gt;F151,"Did not breach BE ✅","breached BE")</f>
        <v>Did not breach BE ✅</v>
      </c>
      <c r="H150" s="68"/>
      <c r="I150" s="68"/>
      <c r="J150" s="52">
        <v>91.86</v>
      </c>
      <c r="K150" s="22">
        <f>(J150-F150)*100*C149</f>
        <v>587.99999999999955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</row>
    <row r="151" spans="1:34" ht="13" x14ac:dyDescent="0.15">
      <c r="A151" s="19"/>
      <c r="B151" s="20"/>
      <c r="C151" s="25" t="s">
        <v>51</v>
      </c>
      <c r="D151" s="25" t="s">
        <v>32</v>
      </c>
      <c r="E151" s="19"/>
      <c r="F151" s="22">
        <f>F150-F149</f>
        <v>74.27000000000001</v>
      </c>
      <c r="G151" s="23">
        <f>(F151-F150)/F150</f>
        <v>-0.13619446382879732</v>
      </c>
      <c r="H151" s="20"/>
      <c r="I151" s="20"/>
      <c r="J151" s="22">
        <f>J150-J149</f>
        <v>74.86</v>
      </c>
      <c r="K151" s="26">
        <f>(J151-F151)*C149*100</f>
        <v>58.99999999999892</v>
      </c>
      <c r="L151" s="23"/>
      <c r="M151" s="23">
        <f>K151/(F150*C149*100)</f>
        <v>6.86206094440555E-3</v>
      </c>
      <c r="N151" s="20"/>
      <c r="O151" s="22">
        <f>K151-($N$2*2)</f>
        <v>57.67999999999892</v>
      </c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 spans="1:34" ht="13" x14ac:dyDescent="0.15">
      <c r="A152" s="12"/>
      <c r="B152" s="13"/>
      <c r="C152" s="13"/>
      <c r="D152" s="13"/>
      <c r="E152" s="12"/>
      <c r="F152" s="13"/>
      <c r="G152" s="13"/>
      <c r="H152" s="13"/>
      <c r="I152" s="13"/>
      <c r="J152" s="15"/>
      <c r="K152" s="16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 spans="1:34" ht="13" x14ac:dyDescent="0.15">
      <c r="A153" s="69">
        <v>45873</v>
      </c>
      <c r="B153" s="70" t="s">
        <v>48</v>
      </c>
      <c r="C153" s="70">
        <v>1</v>
      </c>
      <c r="D153" s="20" t="s">
        <v>71</v>
      </c>
      <c r="E153" s="19">
        <v>45884</v>
      </c>
      <c r="F153" s="22">
        <v>10.83</v>
      </c>
      <c r="G153" s="21"/>
      <c r="H153" s="21">
        <v>0.77</v>
      </c>
      <c r="I153" s="23"/>
      <c r="J153" s="22">
        <v>15.03</v>
      </c>
      <c r="K153" s="22">
        <f>(F153-J153)*100*C153</f>
        <v>-419.99999999999994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</row>
    <row r="154" spans="1:34" ht="13" x14ac:dyDescent="0.15">
      <c r="A154" s="68"/>
      <c r="B154" s="68"/>
      <c r="C154" s="68"/>
      <c r="D154" s="20" t="s">
        <v>31</v>
      </c>
      <c r="E154" s="20"/>
      <c r="F154" s="22">
        <v>87.05</v>
      </c>
      <c r="G154" s="72" t="str">
        <f>IF(J154&gt;F155,"Did not breach BE ✅","breached BE")</f>
        <v>Did not breach BE ✅</v>
      </c>
      <c r="H154" s="68"/>
      <c r="I154" s="68"/>
      <c r="J154" s="52">
        <v>91.88</v>
      </c>
      <c r="K154" s="22">
        <f>(J154-F154)*100*C153</f>
        <v>482.99999999999983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 spans="1:34" ht="13" x14ac:dyDescent="0.15">
      <c r="A155" s="19"/>
      <c r="B155" s="20"/>
      <c r="C155" s="25" t="s">
        <v>51</v>
      </c>
      <c r="D155" s="25" t="s">
        <v>32</v>
      </c>
      <c r="E155" s="19"/>
      <c r="F155" s="22">
        <f>F154-F153</f>
        <v>76.22</v>
      </c>
      <c r="G155" s="23">
        <f>(F155-F154)/F154</f>
        <v>-0.12441125789775989</v>
      </c>
      <c r="H155" s="20"/>
      <c r="I155" s="20"/>
      <c r="J155" s="22">
        <f>J154-J153</f>
        <v>76.849999999999994</v>
      </c>
      <c r="K155" s="26">
        <f>(J155-F155)*C153*100</f>
        <v>62.999999999999545</v>
      </c>
      <c r="L155" s="23"/>
      <c r="M155" s="23">
        <f>K155/(F154*C153*100)</f>
        <v>7.2372199885122968E-3</v>
      </c>
      <c r="N155" s="20"/>
      <c r="O155" s="22">
        <f>K155-($N$2*2)</f>
        <v>61.679999999999545</v>
      </c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</row>
    <row r="156" spans="1:34" ht="13" x14ac:dyDescent="0.15">
      <c r="A156" s="12"/>
      <c r="B156" s="13"/>
      <c r="C156" s="13"/>
      <c r="D156" s="13"/>
      <c r="E156" s="12"/>
      <c r="F156" s="13"/>
      <c r="G156" s="13"/>
      <c r="H156" s="13"/>
      <c r="I156" s="13"/>
      <c r="J156" s="15"/>
      <c r="K156" s="16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spans="1:34" ht="13" x14ac:dyDescent="0.15">
      <c r="A157" s="69">
        <v>45875</v>
      </c>
      <c r="B157" s="70" t="s">
        <v>48</v>
      </c>
      <c r="C157" s="70">
        <v>2</v>
      </c>
      <c r="D157" s="20" t="s">
        <v>74</v>
      </c>
      <c r="E157" s="19">
        <v>45884</v>
      </c>
      <c r="F157" s="22">
        <v>11.39</v>
      </c>
      <c r="G157" s="21">
        <v>1.08</v>
      </c>
      <c r="H157" s="21">
        <v>0.77</v>
      </c>
      <c r="I157" s="23"/>
      <c r="J157" s="22">
        <v>14.64</v>
      </c>
      <c r="K157" s="22">
        <f>(F157-J157)*100*C157</f>
        <v>-650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</row>
    <row r="158" spans="1:34" ht="13" x14ac:dyDescent="0.15">
      <c r="A158" s="68"/>
      <c r="B158" s="68"/>
      <c r="C158" s="68"/>
      <c r="D158" s="20" t="s">
        <v>31</v>
      </c>
      <c r="E158" s="20"/>
      <c r="F158" s="22">
        <v>88.34</v>
      </c>
      <c r="G158" s="72" t="str">
        <f>IF(J158&gt;F159,"Did not breach BE ✅","breached BE")</f>
        <v>Did not breach BE ✅</v>
      </c>
      <c r="H158" s="68"/>
      <c r="I158" s="68"/>
      <c r="J158" s="52">
        <v>92.15</v>
      </c>
      <c r="K158" s="22">
        <f>(J158-F158)*100*C157</f>
        <v>762.00000000000045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</row>
    <row r="159" spans="1:34" ht="13" x14ac:dyDescent="0.15">
      <c r="A159" s="19"/>
      <c r="B159" s="20"/>
      <c r="C159" s="25" t="s">
        <v>51</v>
      </c>
      <c r="D159" s="25" t="s">
        <v>32</v>
      </c>
      <c r="E159" s="19"/>
      <c r="F159" s="22">
        <f>F158-F157</f>
        <v>76.95</v>
      </c>
      <c r="G159" s="23">
        <f>(F159-F158)/F158</f>
        <v>-0.12893366538374462</v>
      </c>
      <c r="H159" s="20"/>
      <c r="I159" s="20"/>
      <c r="J159" s="22">
        <f>J158-J157</f>
        <v>77.510000000000005</v>
      </c>
      <c r="K159" s="26">
        <f>(J159-F159)*C157*100</f>
        <v>112.00000000000045</v>
      </c>
      <c r="L159" s="23"/>
      <c r="M159" s="23">
        <f>K159/(F158*C157*100)</f>
        <v>6.3391442155309287E-3</v>
      </c>
      <c r="N159" s="20"/>
      <c r="O159" s="22">
        <f>K159-($N$2*2)</f>
        <v>110.68000000000046</v>
      </c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</row>
    <row r="160" spans="1:34" ht="13" x14ac:dyDescent="0.15">
      <c r="A160" s="12"/>
      <c r="B160" s="13"/>
      <c r="C160" s="13"/>
      <c r="D160" s="13"/>
      <c r="E160" s="12"/>
      <c r="F160" s="13"/>
      <c r="G160" s="13"/>
      <c r="H160" s="13"/>
      <c r="I160" s="13"/>
      <c r="J160" s="15"/>
      <c r="K160" s="16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spans="1:34" ht="13" x14ac:dyDescent="0.15">
      <c r="A161" s="2" t="s">
        <v>39</v>
      </c>
      <c r="B161" s="13"/>
      <c r="C161" s="13"/>
      <c r="D161" s="13"/>
      <c r="E161" s="12"/>
      <c r="F161" s="13"/>
      <c r="G161" s="13"/>
      <c r="H161" s="13"/>
      <c r="I161" s="13"/>
      <c r="J161" s="15"/>
      <c r="K161" s="16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spans="1:34" ht="13" x14ac:dyDescent="0.15">
      <c r="A162" s="69">
        <v>45873</v>
      </c>
      <c r="B162" s="70" t="s">
        <v>48</v>
      </c>
      <c r="C162" s="70">
        <v>1</v>
      </c>
      <c r="D162" s="20" t="s">
        <v>77</v>
      </c>
      <c r="E162" s="19">
        <v>45884</v>
      </c>
      <c r="F162" s="22">
        <v>12.16</v>
      </c>
      <c r="G162" s="21"/>
      <c r="H162" s="21">
        <v>0.61</v>
      </c>
      <c r="I162" s="23"/>
      <c r="J162" s="22">
        <v>12.78</v>
      </c>
      <c r="K162" s="22">
        <f>(F162-J162)*100*C162</f>
        <v>-61.999999999999922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</row>
    <row r="163" spans="1:34" ht="13" x14ac:dyDescent="0.15">
      <c r="A163" s="68"/>
      <c r="B163" s="68"/>
      <c r="C163" s="68"/>
      <c r="D163" s="20" t="s">
        <v>31</v>
      </c>
      <c r="E163" s="20"/>
      <c r="F163" s="22">
        <v>91.97</v>
      </c>
      <c r="G163" s="72" t="str">
        <f>IF(J163&gt;F164,"Did not breach BE ✅","breached BE")</f>
        <v>Did not breach BE ✅</v>
      </c>
      <c r="H163" s="68"/>
      <c r="I163" s="68"/>
      <c r="J163" s="52">
        <v>93.93</v>
      </c>
      <c r="K163" s="22">
        <f>(J163-F163)*100*C162</f>
        <v>196.0000000000008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</row>
    <row r="164" spans="1:34" ht="13" x14ac:dyDescent="0.15">
      <c r="A164" s="19"/>
      <c r="B164" s="20"/>
      <c r="C164" s="25" t="s">
        <v>51</v>
      </c>
      <c r="D164" s="25" t="s">
        <v>32</v>
      </c>
      <c r="E164" s="19"/>
      <c r="F164" s="22">
        <f>F163-F162</f>
        <v>79.81</v>
      </c>
      <c r="G164" s="23">
        <f>(F164-F163)/F163</f>
        <v>-0.13221702729150805</v>
      </c>
      <c r="H164" s="20"/>
      <c r="I164" s="20"/>
      <c r="J164" s="22">
        <f>J163-J162</f>
        <v>81.150000000000006</v>
      </c>
      <c r="K164" s="26">
        <f>(J164-F164)*C162*100</f>
        <v>134.00000000000034</v>
      </c>
      <c r="L164" s="23"/>
      <c r="M164" s="23">
        <f>K164/(F163*C162*100)</f>
        <v>1.4569968467978726E-2</v>
      </c>
      <c r="N164" s="20"/>
      <c r="O164" s="22">
        <f>K164-($N$2*2)</f>
        <v>132.68000000000035</v>
      </c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</row>
    <row r="165" spans="1:34" ht="13" x14ac:dyDescent="0.15">
      <c r="A165" s="12"/>
      <c r="B165" s="13"/>
      <c r="C165" s="13"/>
      <c r="D165" s="13"/>
      <c r="E165" s="12"/>
      <c r="F165" s="13"/>
      <c r="G165" s="13"/>
      <c r="H165" s="13"/>
      <c r="I165" s="13"/>
      <c r="J165" s="15"/>
      <c r="K165" s="16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 spans="1:34" ht="13" x14ac:dyDescent="0.15">
      <c r="A166" s="69">
        <v>45880</v>
      </c>
      <c r="B166" s="70" t="s">
        <v>48</v>
      </c>
      <c r="C166" s="70">
        <v>3</v>
      </c>
      <c r="D166" s="20" t="s">
        <v>78</v>
      </c>
      <c r="E166" s="19">
        <v>45884</v>
      </c>
      <c r="F166" s="22">
        <v>11.57</v>
      </c>
      <c r="G166" s="21"/>
      <c r="H166" s="21">
        <v>1.3</v>
      </c>
      <c r="I166" s="23"/>
      <c r="J166" s="22">
        <v>12.64</v>
      </c>
      <c r="K166" s="22">
        <f>(F166-J166)*100*C166</f>
        <v>-321.00000000000011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 spans="1:34" ht="13" x14ac:dyDescent="0.15">
      <c r="A167" s="68"/>
      <c r="B167" s="68"/>
      <c r="C167" s="68"/>
      <c r="D167" s="20" t="s">
        <v>31</v>
      </c>
      <c r="E167" s="20"/>
      <c r="F167" s="22">
        <v>92.27</v>
      </c>
      <c r="G167" s="72" t="str">
        <f>IF(J167&gt;F168,"Did not breach BE ✅","breached BE")</f>
        <v>Did not breach BE ✅</v>
      </c>
      <c r="H167" s="68"/>
      <c r="I167" s="68"/>
      <c r="J167" s="52">
        <v>93.93</v>
      </c>
      <c r="K167" s="22">
        <f>(J167-F167)*100*C166</f>
        <v>498.00000000000324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</row>
    <row r="168" spans="1:34" ht="13" x14ac:dyDescent="0.15">
      <c r="A168" s="19"/>
      <c r="B168" s="20"/>
      <c r="C168" s="25" t="s">
        <v>51</v>
      </c>
      <c r="D168" s="25" t="s">
        <v>32</v>
      </c>
      <c r="E168" s="19"/>
      <c r="F168" s="22">
        <f>F167-F166</f>
        <v>80.699999999999989</v>
      </c>
      <c r="G168" s="23">
        <f>(F168-F167)/F167</f>
        <v>-0.12539286875474159</v>
      </c>
      <c r="H168" s="20"/>
      <c r="I168" s="20"/>
      <c r="J168" s="22">
        <f>J167-J166</f>
        <v>81.290000000000006</v>
      </c>
      <c r="K168" s="26">
        <f>(J168-F168)*C166*100</f>
        <v>177.00000000000529</v>
      </c>
      <c r="L168" s="23"/>
      <c r="M168" s="23">
        <f>K168/(F167*C166*100)</f>
        <v>6.3942776633794038E-3</v>
      </c>
      <c r="N168" s="20"/>
      <c r="O168" s="22">
        <f>K168-($N$2*2)</f>
        <v>175.68000000000529</v>
      </c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</row>
    <row r="169" spans="1:34" ht="13" x14ac:dyDescent="0.15">
      <c r="A169" s="12"/>
      <c r="B169" s="13"/>
      <c r="C169" s="13"/>
      <c r="D169" s="13"/>
      <c r="E169" s="12"/>
      <c r="F169" s="13"/>
      <c r="G169" s="13"/>
      <c r="H169" s="13"/>
      <c r="I169" s="13"/>
      <c r="J169" s="15"/>
      <c r="K169" s="16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spans="1:34" ht="13" x14ac:dyDescent="0.15">
      <c r="A170" s="2" t="s">
        <v>39</v>
      </c>
      <c r="B170" s="13"/>
      <c r="C170" s="13"/>
      <c r="D170" s="13"/>
      <c r="E170" s="12"/>
      <c r="F170" s="13"/>
      <c r="G170" s="13"/>
      <c r="H170" s="13"/>
      <c r="I170" s="13"/>
      <c r="J170" s="15"/>
      <c r="K170" s="16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spans="1:34" ht="13" x14ac:dyDescent="0.15">
      <c r="A171" s="69">
        <v>45884</v>
      </c>
      <c r="B171" s="70" t="s">
        <v>48</v>
      </c>
      <c r="C171" s="70">
        <v>3</v>
      </c>
      <c r="D171" s="20" t="s">
        <v>79</v>
      </c>
      <c r="E171" s="19">
        <v>45898</v>
      </c>
      <c r="F171" s="22">
        <v>10.8</v>
      </c>
      <c r="G171" s="21"/>
      <c r="H171" s="21">
        <v>0.91</v>
      </c>
      <c r="I171" s="23"/>
      <c r="J171" s="22">
        <v>7.18</v>
      </c>
      <c r="K171" s="22">
        <f>(F171-J171)*100*C171</f>
        <v>1086.0000000000005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</row>
    <row r="172" spans="1:34" ht="13" x14ac:dyDescent="0.15">
      <c r="A172" s="68"/>
      <c r="B172" s="68"/>
      <c r="C172" s="68"/>
      <c r="D172" s="20" t="s">
        <v>31</v>
      </c>
      <c r="E172" s="20"/>
      <c r="F172" s="22">
        <v>93.93</v>
      </c>
      <c r="G172" s="72" t="str">
        <f>IF(J172&gt;F173,"Did not breach BE ✅","breached BE")</f>
        <v>Did not breach BE ✅</v>
      </c>
      <c r="H172" s="68"/>
      <c r="I172" s="68"/>
      <c r="J172" s="52">
        <v>91.15</v>
      </c>
      <c r="K172" s="22">
        <f>(J172-F172)*100*C171</f>
        <v>-834.00000000000034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</row>
    <row r="173" spans="1:34" ht="13" x14ac:dyDescent="0.15">
      <c r="A173" s="19"/>
      <c r="B173" s="20"/>
      <c r="C173" s="25" t="s">
        <v>51</v>
      </c>
      <c r="D173" s="25" t="s">
        <v>32</v>
      </c>
      <c r="E173" s="19"/>
      <c r="F173" s="22">
        <f>F172-F171</f>
        <v>83.13000000000001</v>
      </c>
      <c r="G173" s="23">
        <f>(F173-F172)/F172</f>
        <v>-0.11497923985946978</v>
      </c>
      <c r="H173" s="20"/>
      <c r="I173" s="20"/>
      <c r="J173" s="22">
        <f>J172-J171</f>
        <v>83.97</v>
      </c>
      <c r="K173" s="26">
        <f>(J173-F173)*C171*100</f>
        <v>251.99999999999676</v>
      </c>
      <c r="L173" s="23"/>
      <c r="M173" s="23">
        <f>K173/(F172*C171*100)</f>
        <v>8.9428297668475362E-3</v>
      </c>
      <c r="N173" s="20"/>
      <c r="O173" s="22">
        <f>K173-($N$2*2)</f>
        <v>250.67999999999677</v>
      </c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</row>
    <row r="174" spans="1:34" ht="13" x14ac:dyDescent="0.15">
      <c r="A174" s="12"/>
      <c r="B174" s="13"/>
      <c r="C174" s="13"/>
      <c r="D174" s="13"/>
      <c r="E174" s="12"/>
      <c r="F174" s="13"/>
      <c r="G174" s="13"/>
      <c r="H174" s="13"/>
      <c r="I174" s="13"/>
      <c r="J174" s="15"/>
      <c r="K174" s="16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spans="1:34" ht="13" x14ac:dyDescent="0.15">
      <c r="A175" s="2" t="s">
        <v>39</v>
      </c>
      <c r="B175" s="13"/>
      <c r="C175" s="13"/>
      <c r="D175" s="13"/>
      <c r="E175" s="12"/>
      <c r="F175" s="13"/>
      <c r="G175" s="13"/>
      <c r="H175" s="13"/>
      <c r="I175" s="13"/>
      <c r="J175" s="15"/>
      <c r="K175" s="16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spans="1:34" ht="13" x14ac:dyDescent="0.15">
      <c r="A176" s="69">
        <v>45894</v>
      </c>
      <c r="B176" s="70" t="s">
        <v>48</v>
      </c>
      <c r="C176" s="70">
        <v>1</v>
      </c>
      <c r="D176" s="20" t="s">
        <v>78</v>
      </c>
      <c r="E176" s="19">
        <v>45898</v>
      </c>
      <c r="F176" s="22">
        <v>8.94</v>
      </c>
      <c r="G176" s="21"/>
      <c r="H176" s="21">
        <v>0.8</v>
      </c>
      <c r="I176" s="23"/>
      <c r="J176" s="22">
        <v>7.91</v>
      </c>
      <c r="K176" s="22">
        <f>(F176-J176)*100*C176</f>
        <v>102.99999999999994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 spans="1:34" ht="13" x14ac:dyDescent="0.15">
      <c r="A177" s="68"/>
      <c r="B177" s="68"/>
      <c r="C177" s="68"/>
      <c r="D177" s="20" t="s">
        <v>31</v>
      </c>
      <c r="E177" s="20"/>
      <c r="F177" s="22">
        <v>90.06</v>
      </c>
      <c r="G177" s="72" t="str">
        <f>IF(J177&gt;F178,"Did not breach BE ✅","breached BE")</f>
        <v>Did not breach BE ✅</v>
      </c>
      <c r="H177" s="68"/>
      <c r="I177" s="68"/>
      <c r="J177" s="52">
        <v>89.8</v>
      </c>
      <c r="K177" s="22">
        <f>(J177-F177)*100*C176</f>
        <v>-26.000000000000512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</row>
    <row r="178" spans="1:34" ht="13" x14ac:dyDescent="0.15">
      <c r="A178" s="19"/>
      <c r="B178" s="20"/>
      <c r="C178" s="25" t="s">
        <v>51</v>
      </c>
      <c r="D178" s="25" t="s">
        <v>32</v>
      </c>
      <c r="E178" s="19"/>
      <c r="F178" s="22">
        <f>F177-F176</f>
        <v>81.12</v>
      </c>
      <c r="G178" s="23">
        <f>(F178-F177)/F177</f>
        <v>-9.9267155229846735E-2</v>
      </c>
      <c r="H178" s="20"/>
      <c r="I178" s="20"/>
      <c r="J178" s="22">
        <f>J177-J176</f>
        <v>81.89</v>
      </c>
      <c r="K178" s="26">
        <f>(J178-F178)*C176*100</f>
        <v>76.999999999999602</v>
      </c>
      <c r="L178" s="23"/>
      <c r="M178" s="23">
        <f>K178/(F177*C176*100)</f>
        <v>8.5498556517876537E-3</v>
      </c>
      <c r="N178" s="20"/>
      <c r="O178" s="22">
        <f>K178-($N$2*2)</f>
        <v>75.679999999999609</v>
      </c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 spans="1:34" ht="13" x14ac:dyDescent="0.15">
      <c r="A179" s="12"/>
      <c r="B179" s="13"/>
      <c r="C179" s="13"/>
      <c r="D179" s="13"/>
      <c r="E179" s="12"/>
      <c r="F179" s="13"/>
      <c r="G179" s="13"/>
      <c r="H179" s="13"/>
      <c r="I179" s="13"/>
      <c r="J179" s="15"/>
      <c r="K179" s="16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spans="1:34" ht="13" x14ac:dyDescent="0.15">
      <c r="A180" s="69">
        <v>45895</v>
      </c>
      <c r="B180" s="70" t="s">
        <v>48</v>
      </c>
      <c r="C180" s="70">
        <v>1</v>
      </c>
      <c r="D180" s="20" t="s">
        <v>78</v>
      </c>
      <c r="E180" s="19">
        <v>45898</v>
      </c>
      <c r="F180" s="22">
        <v>8.5399999999999991</v>
      </c>
      <c r="G180" s="21"/>
      <c r="H180" s="21">
        <v>0.95</v>
      </c>
      <c r="I180" s="23"/>
      <c r="J180" s="22">
        <f t="shared" ref="J180:J181" si="1">J176</f>
        <v>7.91</v>
      </c>
      <c r="K180" s="22">
        <f>(F180-J180)*100*C180</f>
        <v>62.999999999999901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 spans="1:34" ht="13" x14ac:dyDescent="0.15">
      <c r="A181" s="68"/>
      <c r="B181" s="68"/>
      <c r="C181" s="68"/>
      <c r="D181" s="20" t="s">
        <v>31</v>
      </c>
      <c r="E181" s="20"/>
      <c r="F181" s="22">
        <v>89.55</v>
      </c>
      <c r="G181" s="72" t="str">
        <f>IF(J181&gt;F182,"Did not breach BE ✅","breached BE")</f>
        <v>Did not breach BE ✅</v>
      </c>
      <c r="H181" s="68"/>
      <c r="I181" s="68"/>
      <c r="J181" s="52">
        <f t="shared" si="1"/>
        <v>89.8</v>
      </c>
      <c r="K181" s="22">
        <f>(J181-F181)*100*C180</f>
        <v>25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</row>
    <row r="182" spans="1:34" ht="13" x14ac:dyDescent="0.15">
      <c r="A182" s="19"/>
      <c r="B182" s="20"/>
      <c r="C182" s="25" t="s">
        <v>51</v>
      </c>
      <c r="D182" s="25" t="s">
        <v>32</v>
      </c>
      <c r="E182" s="19"/>
      <c r="F182" s="22">
        <f>F181-F180</f>
        <v>81.009999999999991</v>
      </c>
      <c r="G182" s="23">
        <f>(F182-F181)/F181</f>
        <v>-9.5365717476270317E-2</v>
      </c>
      <c r="H182" s="20"/>
      <c r="I182" s="20"/>
      <c r="J182" s="20">
        <v>81.44</v>
      </c>
      <c r="K182" s="26">
        <f>(J182-F182)*C180*100</f>
        <v>43.000000000000682</v>
      </c>
      <c r="L182" s="23"/>
      <c r="M182" s="23">
        <f>K182/(F181*C180*100)</f>
        <v>4.8017867113345266E-3</v>
      </c>
      <c r="N182" s="20"/>
      <c r="O182" s="22">
        <f>K182-($N$2*2)</f>
        <v>41.680000000000682</v>
      </c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 spans="1:34" ht="13" x14ac:dyDescent="0.15">
      <c r="A183" s="12"/>
      <c r="B183" s="13"/>
      <c r="C183" s="13"/>
      <c r="D183" s="13"/>
      <c r="E183" s="12"/>
      <c r="F183" s="13"/>
      <c r="G183" s="13"/>
      <c r="H183" s="13"/>
      <c r="I183" s="13"/>
      <c r="J183" s="15"/>
      <c r="K183" s="16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spans="1:34" ht="13" x14ac:dyDescent="0.15">
      <c r="A184" s="2" t="s">
        <v>39</v>
      </c>
      <c r="B184" s="13"/>
      <c r="C184" s="13"/>
      <c r="D184" s="13"/>
      <c r="E184" s="12"/>
      <c r="F184" s="13"/>
      <c r="G184" s="13"/>
      <c r="H184" s="13"/>
      <c r="I184" s="13"/>
      <c r="J184" s="15"/>
      <c r="K184" s="16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spans="1:34" ht="13" x14ac:dyDescent="0.15">
      <c r="A185" s="69">
        <v>45898</v>
      </c>
      <c r="B185" s="70" t="s">
        <v>48</v>
      </c>
      <c r="C185" s="70">
        <v>3</v>
      </c>
      <c r="D185" s="20" t="s">
        <v>78</v>
      </c>
      <c r="E185" s="19">
        <v>45898</v>
      </c>
      <c r="F185" s="22">
        <v>9.84</v>
      </c>
      <c r="G185" s="21"/>
      <c r="H185" s="21">
        <v>0.99</v>
      </c>
      <c r="I185" s="23"/>
      <c r="J185" s="22">
        <v>12.19</v>
      </c>
      <c r="K185" s="22">
        <f>(F185-J185)*100*C185</f>
        <v>-704.99999999999989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</row>
    <row r="186" spans="1:34" ht="13" x14ac:dyDescent="0.15">
      <c r="A186" s="68"/>
      <c r="B186" s="68"/>
      <c r="C186" s="68"/>
      <c r="D186" s="20" t="s">
        <v>31</v>
      </c>
      <c r="E186" s="20"/>
      <c r="F186" s="22">
        <v>90.9071</v>
      </c>
      <c r="G186" s="72" t="str">
        <f>IF(J186&gt;F187,"Did not breach BE ✅","breached BE")</f>
        <v>Did not breach BE ✅</v>
      </c>
      <c r="H186" s="68"/>
      <c r="I186" s="68"/>
      <c r="J186" s="52">
        <v>93.84</v>
      </c>
      <c r="K186" s="22">
        <f>(J186-F186)*100*C185</f>
        <v>879.87000000000103</v>
      </c>
      <c r="L186" s="20"/>
      <c r="M186" s="20"/>
      <c r="N186" s="20"/>
      <c r="O186" s="20"/>
      <c r="P186" s="20"/>
      <c r="Q186" s="27">
        <v>45870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 spans="1:34" ht="13" x14ac:dyDescent="0.15">
      <c r="A187" s="19"/>
      <c r="B187" s="20"/>
      <c r="C187" s="25" t="s">
        <v>51</v>
      </c>
      <c r="D187" s="25" t="s">
        <v>32</v>
      </c>
      <c r="E187" s="19"/>
      <c r="F187" s="22">
        <f>F186-F185</f>
        <v>81.067099999999996</v>
      </c>
      <c r="G187" s="23">
        <f>(F187-F186)/F186</f>
        <v>-0.10824237050791416</v>
      </c>
      <c r="H187" s="20"/>
      <c r="I187" s="20"/>
      <c r="J187" s="22">
        <f>J186-J185</f>
        <v>81.650000000000006</v>
      </c>
      <c r="K187" s="26">
        <f>(J187-F187)*C185*100</f>
        <v>174.87000000000279</v>
      </c>
      <c r="L187" s="23"/>
      <c r="M187" s="23">
        <f>K187/(F186*C185*100)</f>
        <v>6.4120404236853818E-3</v>
      </c>
      <c r="N187" s="20"/>
      <c r="O187" s="22">
        <f>K187-($N$2*2)</f>
        <v>173.5500000000028</v>
      </c>
      <c r="P187" s="20"/>
      <c r="Q187" s="22">
        <f>SUM(O146:O187)</f>
        <v>1130.6700000000042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</row>
    <row r="188" spans="1:34" ht="13" x14ac:dyDescent="0.15">
      <c r="B188" s="13"/>
      <c r="C188" s="13"/>
      <c r="D188" s="13"/>
      <c r="E188" s="12"/>
      <c r="F188" s="13"/>
      <c r="G188" s="13"/>
      <c r="H188" s="13"/>
      <c r="I188" s="13"/>
      <c r="J188" s="15"/>
      <c r="K188" s="16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spans="1:34" ht="13" x14ac:dyDescent="0.15">
      <c r="A189" s="2" t="s">
        <v>39</v>
      </c>
      <c r="B189" s="13"/>
      <c r="C189" s="13"/>
      <c r="D189" s="13"/>
      <c r="E189" s="12"/>
      <c r="F189" s="13"/>
      <c r="G189" s="13"/>
      <c r="H189" s="13"/>
      <c r="I189" s="13"/>
      <c r="J189" s="15"/>
      <c r="K189" s="16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spans="1:34" ht="13" x14ac:dyDescent="0.15">
      <c r="A190" s="69">
        <v>45903</v>
      </c>
      <c r="B190" s="70" t="s">
        <v>48</v>
      </c>
      <c r="C190" s="70">
        <v>2</v>
      </c>
      <c r="D190" s="20" t="s">
        <v>80</v>
      </c>
      <c r="E190" s="19">
        <v>45898</v>
      </c>
      <c r="F190" s="22">
        <v>11.24</v>
      </c>
      <c r="G190" s="21"/>
      <c r="H190" s="21">
        <v>1.2</v>
      </c>
      <c r="I190" s="23"/>
      <c r="J190" s="22">
        <v>18.34</v>
      </c>
      <c r="K190" s="22">
        <f>(F190-J190)*100*C190</f>
        <v>-1420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 spans="1:34" ht="13" x14ac:dyDescent="0.15">
      <c r="A191" s="68"/>
      <c r="B191" s="68"/>
      <c r="C191" s="68"/>
      <c r="D191" s="20" t="s">
        <v>31</v>
      </c>
      <c r="E191" s="20"/>
      <c r="F191" s="22">
        <v>90.04</v>
      </c>
      <c r="G191" s="72" t="str">
        <f>IF(J191&gt;F192,"Did not breach BE ✅","breached BE")</f>
        <v>Did not breach BE ✅</v>
      </c>
      <c r="H191" s="68"/>
      <c r="I191" s="68"/>
      <c r="J191" s="52">
        <v>98.2</v>
      </c>
      <c r="K191" s="22">
        <f>(J191-F191)*100*C190</f>
        <v>1631.9999999999993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</row>
    <row r="192" spans="1:34" ht="13" x14ac:dyDescent="0.15">
      <c r="A192" s="19"/>
      <c r="B192" s="20"/>
      <c r="C192" s="25" t="s">
        <v>51</v>
      </c>
      <c r="D192" s="25" t="s">
        <v>32</v>
      </c>
      <c r="E192" s="19"/>
      <c r="F192" s="22">
        <f>F191-F190</f>
        <v>78.800000000000011</v>
      </c>
      <c r="G192" s="23">
        <f>(F192-F191)/F191</f>
        <v>-0.12483340737450016</v>
      </c>
      <c r="H192" s="20"/>
      <c r="I192" s="20"/>
      <c r="J192" s="22">
        <f>J191-J190</f>
        <v>79.86</v>
      </c>
      <c r="K192" s="26">
        <f>(J192-F192)*C190*100</f>
        <v>211.99999999999761</v>
      </c>
      <c r="L192" s="23"/>
      <c r="M192" s="23">
        <f>K192/(F191*C190*100)</f>
        <v>1.1772545535317504E-2</v>
      </c>
      <c r="N192" s="20"/>
      <c r="O192" s="22">
        <f>K192-($N$2*2)</f>
        <v>210.67999999999762</v>
      </c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</row>
    <row r="193" spans="1:34" ht="13" x14ac:dyDescent="0.15">
      <c r="A193" s="12"/>
      <c r="B193" s="13"/>
      <c r="C193" s="13"/>
      <c r="D193" s="13"/>
      <c r="E193" s="12"/>
      <c r="F193" s="13"/>
      <c r="G193" s="13"/>
      <c r="H193" s="13"/>
      <c r="I193" s="13"/>
      <c r="J193" s="15"/>
      <c r="K193" s="16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spans="1:34" ht="13" x14ac:dyDescent="0.15">
      <c r="A194" s="69">
        <v>45905</v>
      </c>
      <c r="B194" s="70" t="s">
        <v>48</v>
      </c>
      <c r="C194" s="70">
        <v>2</v>
      </c>
      <c r="D194" s="20" t="s">
        <v>81</v>
      </c>
      <c r="E194" s="19">
        <v>45898</v>
      </c>
      <c r="F194" s="22">
        <v>11.48</v>
      </c>
      <c r="G194" s="21"/>
      <c r="H194" s="21">
        <v>0.85</v>
      </c>
      <c r="I194" s="23"/>
      <c r="J194" s="22">
        <v>14.21</v>
      </c>
      <c r="K194" s="22">
        <f>(F194-J194)*100*C194</f>
        <v>-546.00000000000011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</row>
    <row r="195" spans="1:34" ht="13" x14ac:dyDescent="0.15">
      <c r="A195" s="68"/>
      <c r="B195" s="68"/>
      <c r="C195" s="68"/>
      <c r="D195" s="20" t="s">
        <v>31</v>
      </c>
      <c r="E195" s="20"/>
      <c r="F195" s="22">
        <v>93.63</v>
      </c>
      <c r="G195" s="72" t="str">
        <f>IF(J195&gt;F196,"Did not breach BE ✅","breached BE")</f>
        <v>Did not breach BE ✅</v>
      </c>
      <c r="H195" s="68"/>
      <c r="I195" s="68"/>
      <c r="J195" s="52">
        <v>96.86</v>
      </c>
      <c r="K195" s="22">
        <f>(J195-F195)*100*C194</f>
        <v>646.0000000000008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</row>
    <row r="196" spans="1:34" ht="13" x14ac:dyDescent="0.15">
      <c r="A196" s="19"/>
      <c r="B196" s="20"/>
      <c r="C196" s="25" t="s">
        <v>51</v>
      </c>
      <c r="D196" s="25" t="s">
        <v>32</v>
      </c>
      <c r="E196" s="19"/>
      <c r="F196" s="22">
        <f>F195-F194</f>
        <v>82.149999999999991</v>
      </c>
      <c r="G196" s="23">
        <f>(F196-F195)/F195</f>
        <v>-0.12261027448467376</v>
      </c>
      <c r="H196" s="20"/>
      <c r="I196" s="20"/>
      <c r="J196" s="22">
        <f>J195-J194</f>
        <v>82.65</v>
      </c>
      <c r="K196" s="26">
        <f>(J196-F196)*C194*100</f>
        <v>100.00000000000284</v>
      </c>
      <c r="L196" s="23"/>
      <c r="M196" s="23">
        <f>K196/(F195*C194*100)</f>
        <v>5.3401687493326308E-3</v>
      </c>
      <c r="N196" s="20"/>
      <c r="O196" s="22">
        <f>K196-($N$2*2)</f>
        <v>98.680000000002849</v>
      </c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</row>
    <row r="197" spans="1:34" ht="13" x14ac:dyDescent="0.15">
      <c r="A197" s="12"/>
      <c r="B197" s="13"/>
      <c r="C197" s="13"/>
      <c r="D197" s="13"/>
      <c r="E197" s="12"/>
      <c r="F197" s="13"/>
      <c r="G197" s="13"/>
      <c r="H197" s="13"/>
      <c r="I197" s="13"/>
      <c r="J197" s="15"/>
      <c r="K197" s="16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 spans="1:34" ht="13" x14ac:dyDescent="0.15">
      <c r="A198" s="2" t="s">
        <v>39</v>
      </c>
      <c r="B198" s="13"/>
      <c r="C198" s="13"/>
      <c r="D198" s="13"/>
      <c r="E198" s="12"/>
      <c r="F198" s="13"/>
      <c r="G198" s="13"/>
      <c r="H198" s="13"/>
      <c r="I198" s="13"/>
      <c r="J198" s="15"/>
      <c r="K198" s="16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spans="1:34" ht="13" x14ac:dyDescent="0.15">
      <c r="A199" s="69">
        <v>45915</v>
      </c>
      <c r="B199" s="70" t="s">
        <v>48</v>
      </c>
      <c r="C199" s="70">
        <v>4</v>
      </c>
      <c r="D199" s="20" t="s">
        <v>82</v>
      </c>
      <c r="E199" s="19">
        <v>45898</v>
      </c>
      <c r="F199" s="22">
        <v>12.09</v>
      </c>
      <c r="G199" s="21"/>
      <c r="H199" s="21">
        <v>1.1000000000000001</v>
      </c>
      <c r="I199" s="23"/>
      <c r="J199" s="22">
        <v>14.88</v>
      </c>
      <c r="K199" s="22">
        <f>(F199-J199)*100*C199</f>
        <v>-1116.0000000000005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 spans="1:34" ht="13" x14ac:dyDescent="0.15">
      <c r="A200" s="68"/>
      <c r="B200" s="68"/>
      <c r="C200" s="68"/>
      <c r="D200" s="20" t="s">
        <v>31</v>
      </c>
      <c r="E200" s="20"/>
      <c r="F200" s="22">
        <v>99.04</v>
      </c>
      <c r="G200" s="72" t="str">
        <f>IF(J200&gt;F201,"Did not breach BE ✅","breached BE")</f>
        <v>Did not breach BE ✅</v>
      </c>
      <c r="H200" s="68"/>
      <c r="I200" s="68"/>
      <c r="J200" s="52">
        <v>102.44</v>
      </c>
      <c r="K200" s="22">
        <f>(J200-F200)*100*C199</f>
        <v>1359.9999999999966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</row>
    <row r="201" spans="1:34" ht="13" x14ac:dyDescent="0.15">
      <c r="A201" s="19"/>
      <c r="B201" s="20"/>
      <c r="C201" s="25" t="s">
        <v>51</v>
      </c>
      <c r="D201" s="25" t="s">
        <v>32</v>
      </c>
      <c r="E201" s="19"/>
      <c r="F201" s="22">
        <f>F200-F199</f>
        <v>86.95</v>
      </c>
      <c r="G201" s="23">
        <f>(F201-F200)/F200</f>
        <v>-0.12207189014539582</v>
      </c>
      <c r="H201" s="20"/>
      <c r="I201" s="20"/>
      <c r="J201" s="22">
        <f>J200-J199</f>
        <v>87.56</v>
      </c>
      <c r="K201" s="26">
        <f>(J201-F201)*C199*100</f>
        <v>243.99999999999977</v>
      </c>
      <c r="L201" s="23"/>
      <c r="M201" s="23">
        <f>K201/(F200*C199*100)</f>
        <v>6.1591276252019331E-3</v>
      </c>
      <c r="N201" s="20"/>
      <c r="O201" s="22">
        <f>K201-($N$2*2)</f>
        <v>242.67999999999978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</row>
    <row r="202" spans="1:34" ht="13" x14ac:dyDescent="0.15">
      <c r="A202" s="12"/>
      <c r="B202" s="13"/>
      <c r="C202" s="13"/>
      <c r="D202" s="13"/>
      <c r="E202" s="12"/>
      <c r="F202" s="13"/>
      <c r="G202" s="13"/>
      <c r="H202" s="13"/>
      <c r="I202" s="13"/>
      <c r="J202" s="15"/>
      <c r="K202" s="16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spans="1:34" ht="13" x14ac:dyDescent="0.15">
      <c r="A203" s="2" t="s">
        <v>39</v>
      </c>
      <c r="B203" s="13"/>
      <c r="C203" s="13"/>
      <c r="D203" s="13"/>
      <c r="E203" s="12"/>
      <c r="F203" s="13"/>
      <c r="G203" s="13"/>
      <c r="H203" s="13"/>
      <c r="I203" s="13"/>
      <c r="J203" s="15"/>
      <c r="K203" s="16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spans="1:34" ht="13" x14ac:dyDescent="0.15">
      <c r="A204" s="69">
        <v>45922</v>
      </c>
      <c r="B204" s="70" t="s">
        <v>48</v>
      </c>
      <c r="C204" s="70">
        <v>4</v>
      </c>
      <c r="D204" s="20" t="s">
        <v>83</v>
      </c>
      <c r="E204" s="19"/>
      <c r="F204" s="20">
        <v>12.36</v>
      </c>
      <c r="G204" s="21"/>
      <c r="H204" s="21">
        <v>1.26</v>
      </c>
      <c r="I204" s="23"/>
      <c r="J204" s="22">
        <v>13.11</v>
      </c>
      <c r="K204" s="22">
        <f>(F204-J204)*100*C204</f>
        <v>-300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</row>
    <row r="205" spans="1:34" ht="13" x14ac:dyDescent="0.15">
      <c r="A205" s="68"/>
      <c r="B205" s="68"/>
      <c r="C205" s="68"/>
      <c r="D205" s="20" t="s">
        <v>31</v>
      </c>
      <c r="E205" s="20"/>
      <c r="F205" s="22">
        <v>101.97</v>
      </c>
      <c r="G205" s="72" t="str">
        <f>IF(J205&gt;F206,"Did not breach BE ✅","breached BE")</f>
        <v>Did not breach BE ✅</v>
      </c>
      <c r="H205" s="68"/>
      <c r="I205" s="68"/>
      <c r="J205" s="52">
        <v>103.82</v>
      </c>
      <c r="K205" s="22">
        <f>(J205-F205)*100*C204</f>
        <v>739.99999999999773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</row>
    <row r="206" spans="1:34" ht="13" x14ac:dyDescent="0.15">
      <c r="A206" s="19"/>
      <c r="B206" s="20"/>
      <c r="C206" s="25" t="s">
        <v>51</v>
      </c>
      <c r="D206" s="25" t="s">
        <v>32</v>
      </c>
      <c r="E206" s="19"/>
      <c r="F206" s="22">
        <f>F205-F204</f>
        <v>89.61</v>
      </c>
      <c r="G206" s="23">
        <f>(F206-F205)/F205</f>
        <v>-0.1212121212121212</v>
      </c>
      <c r="H206" s="20"/>
      <c r="I206" s="20"/>
      <c r="J206" s="22">
        <f>J205-J204</f>
        <v>90.71</v>
      </c>
      <c r="K206" s="26">
        <f>(J206-F206)*C204*100</f>
        <v>439.99999999999773</v>
      </c>
      <c r="L206" s="23"/>
      <c r="M206" s="23">
        <f>K206/(F205*C204*100)</f>
        <v>1.0787486515641799E-2</v>
      </c>
      <c r="N206" s="20"/>
      <c r="O206" s="22">
        <f>K206-($N$2*2)</f>
        <v>438.67999999999773</v>
      </c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</row>
    <row r="207" spans="1:34" ht="13" x14ac:dyDescent="0.15">
      <c r="A207" s="12"/>
      <c r="B207" s="13"/>
      <c r="C207" s="13"/>
      <c r="D207" s="13"/>
      <c r="E207" s="12"/>
      <c r="F207" s="13"/>
      <c r="G207" s="13"/>
      <c r="H207" s="13"/>
      <c r="I207" s="13"/>
      <c r="J207" s="15"/>
      <c r="K207" s="16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spans="1:34" ht="13" x14ac:dyDescent="0.15">
      <c r="A208" s="2" t="s">
        <v>39</v>
      </c>
      <c r="B208" s="13"/>
      <c r="C208" s="13"/>
      <c r="D208" s="13"/>
      <c r="E208" s="12"/>
      <c r="F208" s="13"/>
      <c r="G208" s="13"/>
      <c r="H208" s="13"/>
      <c r="I208" s="13"/>
      <c r="J208" s="15"/>
      <c r="K208" s="16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spans="1:34" ht="13" x14ac:dyDescent="0.15">
      <c r="A209" s="69">
        <v>45922</v>
      </c>
      <c r="B209" s="70" t="s">
        <v>48</v>
      </c>
      <c r="C209" s="70">
        <v>4</v>
      </c>
      <c r="D209" s="20" t="s">
        <v>84</v>
      </c>
      <c r="E209" s="19"/>
      <c r="F209" s="20">
        <v>12.75</v>
      </c>
      <c r="G209" s="21"/>
      <c r="H209" s="21">
        <v>1.47</v>
      </c>
      <c r="I209" s="23"/>
      <c r="J209" s="22">
        <v>13.81</v>
      </c>
      <c r="K209" s="22">
        <f>(F209-J209)*100*C209</f>
        <v>-424.00000000000023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</row>
    <row r="210" spans="1:34" ht="13" x14ac:dyDescent="0.15">
      <c r="A210" s="68"/>
      <c r="B210" s="68"/>
      <c r="C210" s="68"/>
      <c r="D210" s="20" t="s">
        <v>31</v>
      </c>
      <c r="E210" s="20"/>
      <c r="F210" s="22">
        <v>103.88</v>
      </c>
      <c r="G210" s="72" t="str">
        <f>IF(J210&gt;F211,"Did not breach BE ✅","breached BE")</f>
        <v>Did not breach BE ✅</v>
      </c>
      <c r="H210" s="68"/>
      <c r="I210" s="68"/>
      <c r="J210" s="52">
        <v>105.94</v>
      </c>
      <c r="K210" s="22">
        <f>(J210-F210)*100*C209</f>
        <v>824.00000000000091</v>
      </c>
      <c r="L210" s="20"/>
      <c r="M210" s="20"/>
      <c r="N210" s="20"/>
      <c r="O210" s="20"/>
      <c r="P210" s="20"/>
      <c r="Q210" s="27">
        <v>45901</v>
      </c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</row>
    <row r="211" spans="1:34" ht="13" x14ac:dyDescent="0.15">
      <c r="A211" s="19"/>
      <c r="B211" s="20"/>
      <c r="C211" s="25" t="s">
        <v>51</v>
      </c>
      <c r="D211" s="25" t="s">
        <v>32</v>
      </c>
      <c r="E211" s="19"/>
      <c r="F211" s="22">
        <f>F210-F209</f>
        <v>91.13</v>
      </c>
      <c r="G211" s="23">
        <f>(F211-F210)/F210</f>
        <v>-0.12273777435502503</v>
      </c>
      <c r="H211" s="20"/>
      <c r="I211" s="20"/>
      <c r="J211" s="22">
        <f>J210-J209</f>
        <v>92.13</v>
      </c>
      <c r="K211" s="26">
        <f>(J211-F211)*C209*100</f>
        <v>400</v>
      </c>
      <c r="L211" s="23"/>
      <c r="M211" s="23">
        <f>K211/(F210*C209*100)</f>
        <v>9.6264921062764724E-3</v>
      </c>
      <c r="N211" s="20"/>
      <c r="O211" s="22">
        <f>K211-($N$2*2)</f>
        <v>398.68</v>
      </c>
      <c r="P211" s="20"/>
      <c r="Q211" s="22">
        <f>SUM(O192:O211)</f>
        <v>1389.399999999998</v>
      </c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</row>
    <row r="212" spans="1:34" ht="13" x14ac:dyDescent="0.15">
      <c r="A212" s="12"/>
      <c r="B212" s="13"/>
      <c r="C212" s="13"/>
      <c r="D212" s="13"/>
      <c r="E212" s="12"/>
      <c r="F212" s="13"/>
      <c r="G212" s="13"/>
      <c r="H212" s="13"/>
      <c r="I212" s="13"/>
      <c r="J212" s="15"/>
      <c r="K212" s="16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spans="1:34" ht="13" x14ac:dyDescent="0.15">
      <c r="A213" s="2" t="s">
        <v>39</v>
      </c>
      <c r="B213" s="13"/>
      <c r="C213" s="13"/>
      <c r="D213" s="13"/>
      <c r="E213" s="12"/>
      <c r="F213" s="13"/>
      <c r="G213" s="13"/>
      <c r="H213" s="13"/>
      <c r="I213" s="13"/>
      <c r="J213" s="15"/>
      <c r="K213" s="16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spans="1:34" ht="13" x14ac:dyDescent="0.15">
      <c r="A214" s="69">
        <v>45936</v>
      </c>
      <c r="B214" s="70" t="s">
        <v>48</v>
      </c>
      <c r="C214" s="70">
        <v>4</v>
      </c>
      <c r="D214" s="20" t="s">
        <v>84</v>
      </c>
      <c r="E214" s="19"/>
      <c r="F214" s="20">
        <v>13.29</v>
      </c>
      <c r="G214" s="21"/>
      <c r="H214" s="21">
        <v>1.69</v>
      </c>
      <c r="I214" s="23"/>
      <c r="J214" s="22">
        <v>13.28</v>
      </c>
      <c r="K214" s="22">
        <f>(F214-J214)*100*C214</f>
        <v>3.9999999999999147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</row>
    <row r="215" spans="1:34" ht="13" x14ac:dyDescent="0.15">
      <c r="A215" s="68"/>
      <c r="B215" s="68"/>
      <c r="C215" s="68"/>
      <c r="D215" s="20" t="s">
        <v>31</v>
      </c>
      <c r="E215" s="20"/>
      <c r="F215" s="22">
        <v>107.15</v>
      </c>
      <c r="G215" s="72" t="str">
        <f>IF(J215&gt;F216,"Did not breach BE ✅","breached BE")</f>
        <v>Did not breach BE ✅</v>
      </c>
      <c r="H215" s="68"/>
      <c r="I215" s="68"/>
      <c r="J215" s="52">
        <v>108.42</v>
      </c>
      <c r="K215" s="22">
        <f>(J215-F215)*100*C214</f>
        <v>507.99999999999841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</row>
    <row r="216" spans="1:34" ht="13" x14ac:dyDescent="0.15">
      <c r="A216" s="19"/>
      <c r="B216" s="20"/>
      <c r="C216" s="25" t="s">
        <v>51</v>
      </c>
      <c r="D216" s="25" t="s">
        <v>32</v>
      </c>
      <c r="E216" s="19"/>
      <c r="F216" s="22">
        <f>F215-F214</f>
        <v>93.860000000000014</v>
      </c>
      <c r="G216" s="23">
        <f>(F216-F215)/F215</f>
        <v>-0.12403173121791873</v>
      </c>
      <c r="H216" s="20"/>
      <c r="I216" s="20"/>
      <c r="J216" s="22">
        <f>J215-J214</f>
        <v>95.14</v>
      </c>
      <c r="K216" s="26">
        <f>(J216-F216)*C214*100</f>
        <v>511.99999999999477</v>
      </c>
      <c r="L216" s="23"/>
      <c r="M216" s="23">
        <f>K216/(F215*C214*100)</f>
        <v>1.1945870275314857E-2</v>
      </c>
      <c r="N216" s="20"/>
      <c r="O216" s="22">
        <f>K216-($N$2*2)</f>
        <v>510.67999999999478</v>
      </c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</row>
    <row r="217" spans="1:34" ht="13" x14ac:dyDescent="0.15">
      <c r="A217" s="12"/>
      <c r="B217" s="13"/>
      <c r="C217" s="13"/>
      <c r="D217" s="13"/>
      <c r="E217" s="12"/>
      <c r="F217" s="13"/>
      <c r="G217" s="13"/>
      <c r="H217" s="13"/>
      <c r="I217" s="13"/>
      <c r="J217" s="15"/>
      <c r="K217" s="16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 spans="1:34" ht="13" x14ac:dyDescent="0.15">
      <c r="A218" s="2"/>
      <c r="B218" s="13"/>
      <c r="C218" s="13"/>
      <c r="D218" s="13"/>
      <c r="E218" s="12"/>
      <c r="F218" s="13"/>
      <c r="G218" s="13"/>
      <c r="H218" s="13"/>
      <c r="I218" s="13"/>
      <c r="J218" s="15"/>
      <c r="K218" s="16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 spans="1:34" ht="13" x14ac:dyDescent="0.15">
      <c r="A219" s="2" t="s">
        <v>39</v>
      </c>
      <c r="B219" s="13"/>
      <c r="C219" s="13"/>
      <c r="D219" s="13"/>
      <c r="E219" s="12"/>
      <c r="F219" s="13"/>
      <c r="G219" s="13"/>
      <c r="H219" s="13"/>
      <c r="I219" s="13"/>
      <c r="J219" s="15"/>
      <c r="K219" s="16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 spans="1:34" ht="13" x14ac:dyDescent="0.15">
      <c r="A220" s="69">
        <v>45941</v>
      </c>
      <c r="B220" s="70" t="s">
        <v>48</v>
      </c>
      <c r="C220" s="70">
        <v>1</v>
      </c>
      <c r="D220" s="20" t="s">
        <v>85</v>
      </c>
      <c r="E220" s="19"/>
      <c r="F220" s="20">
        <v>0.54</v>
      </c>
      <c r="G220" s="21"/>
      <c r="H220" s="21">
        <v>0.54</v>
      </c>
      <c r="I220" s="23"/>
      <c r="J220" s="22">
        <v>0</v>
      </c>
      <c r="K220" s="22">
        <f>(F220-J220)*100*C220</f>
        <v>54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</row>
    <row r="221" spans="1:34" ht="13" x14ac:dyDescent="0.15">
      <c r="A221" s="68"/>
      <c r="B221" s="68"/>
      <c r="C221" s="68"/>
      <c r="D221" s="20" t="s">
        <v>31</v>
      </c>
      <c r="E221" s="20"/>
      <c r="F221" s="22">
        <v>106.87</v>
      </c>
      <c r="G221" s="72" t="str">
        <f>IF(J221&gt;F222,"Did not breach BE ✅","breached BE")</f>
        <v>Did not breach BE ✅</v>
      </c>
      <c r="H221" s="68"/>
      <c r="I221" s="68"/>
      <c r="J221" s="52">
        <v>106.87</v>
      </c>
      <c r="K221" s="22">
        <f>(J221-F221)*100*C220</f>
        <v>0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</row>
    <row r="222" spans="1:34" ht="13" x14ac:dyDescent="0.15">
      <c r="A222" s="19"/>
      <c r="B222" s="20"/>
      <c r="C222" s="25" t="s">
        <v>51</v>
      </c>
      <c r="D222" s="25" t="s">
        <v>32</v>
      </c>
      <c r="E222" s="19"/>
      <c r="F222" s="22">
        <f>F221-F220</f>
        <v>106.33</v>
      </c>
      <c r="G222" s="23">
        <f>(F222-F221)/F221</f>
        <v>-5.0528679704314235E-3</v>
      </c>
      <c r="H222" s="20"/>
      <c r="I222" s="20"/>
      <c r="J222" s="22">
        <f>J221-J220</f>
        <v>106.87</v>
      </c>
      <c r="K222" s="26">
        <f>(J222-F222)*C220*100</f>
        <v>54.000000000000625</v>
      </c>
      <c r="L222" s="23"/>
      <c r="M222" s="23">
        <f>K222/(F221*C220*100)</f>
        <v>5.0528679704314235E-3</v>
      </c>
      <c r="N222" s="20"/>
      <c r="O222" s="22">
        <f>K222-($N$2*2)</f>
        <v>52.680000000000625</v>
      </c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</row>
    <row r="223" spans="1:34" ht="13" x14ac:dyDescent="0.15">
      <c r="A223" s="12"/>
      <c r="B223" s="13"/>
      <c r="C223" s="13"/>
      <c r="D223" s="13"/>
      <c r="E223" s="12"/>
      <c r="F223" s="13"/>
      <c r="G223" s="13"/>
      <c r="H223" s="13"/>
      <c r="I223" s="13"/>
      <c r="J223" s="15"/>
      <c r="K223" s="16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spans="1:34" ht="13" x14ac:dyDescent="0.15">
      <c r="A224" s="2" t="s">
        <v>39</v>
      </c>
      <c r="B224" s="13"/>
      <c r="C224" s="13"/>
      <c r="D224" s="13"/>
      <c r="E224" s="12"/>
      <c r="F224" s="13"/>
      <c r="G224" s="13"/>
      <c r="H224" s="13"/>
      <c r="I224" s="13"/>
      <c r="J224" s="15"/>
      <c r="K224" s="16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spans="1:34" ht="13" x14ac:dyDescent="0.15">
      <c r="A225" s="69">
        <v>45943</v>
      </c>
      <c r="B225" s="70" t="s">
        <v>48</v>
      </c>
      <c r="C225" s="70">
        <v>1</v>
      </c>
      <c r="D225" s="20" t="s">
        <v>86</v>
      </c>
      <c r="E225" s="19"/>
      <c r="F225" s="20">
        <v>0.43</v>
      </c>
      <c r="G225" s="21"/>
      <c r="H225" s="20">
        <v>0.43</v>
      </c>
      <c r="I225" s="23"/>
      <c r="J225" s="22">
        <v>0.15</v>
      </c>
      <c r="K225" s="22">
        <f>(F225-J225)*100*C225</f>
        <v>28.000000000000004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</row>
    <row r="226" spans="1:34" ht="13" x14ac:dyDescent="0.15">
      <c r="A226" s="68"/>
      <c r="B226" s="68"/>
      <c r="C226" s="68"/>
      <c r="D226" s="20" t="s">
        <v>31</v>
      </c>
      <c r="E226" s="20"/>
      <c r="F226" s="22">
        <v>101.34</v>
      </c>
      <c r="G226" s="72" t="str">
        <f>IF(J226&gt;F227,"Did not breach BE ✅","breached BE")</f>
        <v>Did not breach BE ✅</v>
      </c>
      <c r="H226" s="68"/>
      <c r="I226" s="68"/>
      <c r="J226" s="52">
        <v>101.34</v>
      </c>
      <c r="K226" s="22">
        <f>(J226-F226)*100*C225</f>
        <v>0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</row>
    <row r="227" spans="1:34" ht="13" x14ac:dyDescent="0.15">
      <c r="A227" s="19"/>
      <c r="B227" s="20"/>
      <c r="C227" s="25" t="s">
        <v>51</v>
      </c>
      <c r="D227" s="25" t="s">
        <v>32</v>
      </c>
      <c r="E227" s="19"/>
      <c r="F227" s="22">
        <f>F226-F225</f>
        <v>100.91</v>
      </c>
      <c r="G227" s="23">
        <f>(F227-F226)/F226</f>
        <v>-4.2431418985593725E-3</v>
      </c>
      <c r="H227" s="20"/>
      <c r="I227" s="20"/>
      <c r="J227" s="22">
        <f>J226-J225</f>
        <v>101.19</v>
      </c>
      <c r="K227" s="26">
        <f>(J227-F227)*C225*100</f>
        <v>28.000000000000114</v>
      </c>
      <c r="L227" s="23"/>
      <c r="M227" s="23">
        <f>K227/(F226*C225*100)</f>
        <v>2.7629761199921168E-3</v>
      </c>
      <c r="N227" s="20"/>
      <c r="O227" s="22">
        <f>K227-($N$2*2)</f>
        <v>26.680000000000113</v>
      </c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</row>
    <row r="228" spans="1:34" ht="13" x14ac:dyDescent="0.15">
      <c r="A228" s="12"/>
      <c r="B228" s="13"/>
      <c r="C228" s="13"/>
      <c r="D228" s="13"/>
      <c r="E228" s="12"/>
      <c r="F228" s="13"/>
      <c r="G228" s="13"/>
      <c r="H228" s="13"/>
      <c r="I228" s="13"/>
      <c r="J228" s="15"/>
      <c r="K228" s="16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 spans="1:34" ht="13" x14ac:dyDescent="0.15">
      <c r="A229" s="69">
        <v>45946</v>
      </c>
      <c r="B229" s="70" t="s">
        <v>48</v>
      </c>
      <c r="C229" s="70">
        <v>1</v>
      </c>
      <c r="D229" s="20" t="s">
        <v>87</v>
      </c>
      <c r="E229" s="20">
        <v>1</v>
      </c>
      <c r="F229" s="20">
        <v>0.37</v>
      </c>
      <c r="G229" s="21"/>
      <c r="H229" s="20">
        <v>0.43</v>
      </c>
      <c r="I229" s="23"/>
      <c r="J229" s="22">
        <v>0.04</v>
      </c>
      <c r="K229" s="22">
        <f>(F229-J229)*100*C229</f>
        <v>33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</row>
    <row r="230" spans="1:34" ht="13" x14ac:dyDescent="0.15">
      <c r="A230" s="68"/>
      <c r="B230" s="68"/>
      <c r="C230" s="68"/>
      <c r="D230" s="20" t="s">
        <v>31</v>
      </c>
      <c r="E230" s="20"/>
      <c r="F230" s="22">
        <v>103.6</v>
      </c>
      <c r="G230" s="72" t="str">
        <f>IF(J230&gt;F231,"Did not breach BE ✅","breached BE")</f>
        <v>Did not breach BE ✅</v>
      </c>
      <c r="H230" s="68"/>
      <c r="I230" s="68"/>
      <c r="J230" s="52">
        <v>103.6</v>
      </c>
      <c r="K230" s="22">
        <f>(J230-F230)*100*C229</f>
        <v>0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</row>
    <row r="231" spans="1:34" ht="13" x14ac:dyDescent="0.15">
      <c r="A231" s="19"/>
      <c r="B231" s="20"/>
      <c r="C231" s="25" t="s">
        <v>51</v>
      </c>
      <c r="D231" s="25" t="s">
        <v>32</v>
      </c>
      <c r="E231" s="19"/>
      <c r="F231" s="22">
        <f>F230-F229</f>
        <v>103.22999999999999</v>
      </c>
      <c r="G231" s="23">
        <f>(F231-F230)/F230</f>
        <v>-3.5714285714286156E-3</v>
      </c>
      <c r="H231" s="20"/>
      <c r="I231" s="20"/>
      <c r="J231" s="22">
        <f>J230-J229</f>
        <v>103.55999999999999</v>
      </c>
      <c r="K231" s="26">
        <f>(J231-F231)*C229*100</f>
        <v>32.999999999999829</v>
      </c>
      <c r="L231" s="23"/>
      <c r="M231" s="23">
        <f>K231/(F230*C229*100)</f>
        <v>3.1853281853281689E-3</v>
      </c>
      <c r="N231" s="20"/>
      <c r="O231" s="22">
        <f>K231-($N$2*2)</f>
        <v>31.679999999999829</v>
      </c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</row>
    <row r="232" spans="1:34" ht="13" x14ac:dyDescent="0.15">
      <c r="A232" s="12"/>
      <c r="B232" s="13"/>
      <c r="C232" s="13"/>
      <c r="D232" s="13"/>
      <c r="E232" s="12"/>
      <c r="F232" s="13"/>
      <c r="G232" s="13"/>
      <c r="H232" s="13"/>
      <c r="I232" s="13"/>
      <c r="J232" s="15"/>
      <c r="K232" s="16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spans="1:34" ht="13" x14ac:dyDescent="0.15">
      <c r="A233" s="69">
        <v>45947</v>
      </c>
      <c r="B233" s="70" t="s">
        <v>48</v>
      </c>
      <c r="C233" s="70">
        <v>1</v>
      </c>
      <c r="D233" s="20" t="s">
        <v>88</v>
      </c>
      <c r="E233" s="20">
        <v>1</v>
      </c>
      <c r="F233" s="20">
        <v>1.7</v>
      </c>
      <c r="G233" s="21"/>
      <c r="H233" s="20">
        <v>1.7</v>
      </c>
      <c r="I233" s="23"/>
      <c r="J233" s="22">
        <v>0</v>
      </c>
      <c r="K233" s="22">
        <f>(F233-J233)*100*C233</f>
        <v>170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</row>
    <row r="234" spans="1:34" ht="13" x14ac:dyDescent="0.15">
      <c r="A234" s="68"/>
      <c r="B234" s="68"/>
      <c r="C234" s="68"/>
      <c r="D234" s="20" t="s">
        <v>31</v>
      </c>
      <c r="E234" s="20"/>
      <c r="F234" s="22">
        <v>101.4</v>
      </c>
      <c r="G234" s="72" t="str">
        <f>IF(J234&gt;F235,"Did not breach BE ✅","breached BE")</f>
        <v>Did not breach BE ✅</v>
      </c>
      <c r="H234" s="68"/>
      <c r="I234" s="68"/>
      <c r="J234" s="52">
        <v>107</v>
      </c>
      <c r="K234" s="22">
        <f>(J234-F234)*100*C233</f>
        <v>559.99999999999943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</row>
    <row r="235" spans="1:34" ht="13" x14ac:dyDescent="0.15">
      <c r="A235" s="19"/>
      <c r="B235" s="20"/>
      <c r="C235" s="25" t="s">
        <v>51</v>
      </c>
      <c r="D235" s="25" t="s">
        <v>32</v>
      </c>
      <c r="E235" s="19"/>
      <c r="F235" s="22">
        <f>F234-F233</f>
        <v>99.7</v>
      </c>
      <c r="G235" s="23">
        <f>(F235-F234)/F234</f>
        <v>-1.6765285996055253E-2</v>
      </c>
      <c r="H235" s="20"/>
      <c r="I235" s="20"/>
      <c r="J235" s="22">
        <f>J234-J233</f>
        <v>107</v>
      </c>
      <c r="K235" s="26">
        <f>(J235-F235)*C233*100</f>
        <v>729.99999999999977</v>
      </c>
      <c r="L235" s="23"/>
      <c r="M235" s="23">
        <f>K235/(F234*C233*100)</f>
        <v>7.1992110453648894E-2</v>
      </c>
      <c r="N235" s="20"/>
      <c r="O235" s="22">
        <f>K235-($N$2*2)</f>
        <v>728.67999999999972</v>
      </c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</row>
    <row r="236" spans="1:34" ht="13" x14ac:dyDescent="0.15">
      <c r="A236" s="12"/>
      <c r="B236" s="13"/>
      <c r="C236" s="13"/>
      <c r="D236" s="13"/>
      <c r="E236" s="12"/>
      <c r="F236" s="13"/>
      <c r="G236" s="13"/>
      <c r="H236" s="13"/>
      <c r="I236" s="13"/>
      <c r="J236" s="15"/>
      <c r="K236" s="16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spans="1:34" ht="13" x14ac:dyDescent="0.15">
      <c r="A237" s="2" t="s">
        <v>39</v>
      </c>
      <c r="B237" s="13"/>
      <c r="C237" s="13"/>
      <c r="D237" s="13"/>
      <c r="E237" s="12"/>
      <c r="F237" s="13"/>
      <c r="G237" s="13"/>
      <c r="H237" s="13"/>
      <c r="I237" s="13"/>
      <c r="J237" s="15"/>
      <c r="K237" s="16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 spans="1:34" ht="13" x14ac:dyDescent="0.15">
      <c r="A238" s="69">
        <v>45951</v>
      </c>
      <c r="B238" s="70" t="s">
        <v>48</v>
      </c>
      <c r="C238" s="70">
        <v>3</v>
      </c>
      <c r="D238" s="20" t="s">
        <v>89</v>
      </c>
      <c r="E238" s="20">
        <v>10</v>
      </c>
      <c r="F238" s="20">
        <v>14.41</v>
      </c>
      <c r="G238" s="21"/>
      <c r="H238" s="21">
        <v>1.24</v>
      </c>
      <c r="I238" s="23"/>
      <c r="J238" s="22">
        <v>15.06</v>
      </c>
      <c r="K238" s="22">
        <f>(F238-J238)*100*C238</f>
        <v>-195.00000000000009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</row>
    <row r="239" spans="1:34" ht="13" x14ac:dyDescent="0.15">
      <c r="A239" s="68"/>
      <c r="B239" s="68"/>
      <c r="C239" s="68"/>
      <c r="D239" s="20" t="s">
        <v>31</v>
      </c>
      <c r="E239" s="20"/>
      <c r="F239" s="22">
        <v>107.75</v>
      </c>
      <c r="G239" s="72" t="str">
        <f>IF(J239&gt;F240,"Did not breach BE ✅","breached BE")</f>
        <v>Did not breach BE ✅</v>
      </c>
      <c r="H239" s="68"/>
      <c r="I239" s="68"/>
      <c r="J239" s="52">
        <v>109.08</v>
      </c>
      <c r="K239" s="22">
        <f>(J239-F239)*100*C238</f>
        <v>398.99999999999949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</row>
    <row r="240" spans="1:34" ht="13" x14ac:dyDescent="0.15">
      <c r="A240" s="19"/>
      <c r="B240" s="20"/>
      <c r="C240" s="25" t="s">
        <v>51</v>
      </c>
      <c r="D240" s="25" t="s">
        <v>32</v>
      </c>
      <c r="E240" s="19"/>
      <c r="F240" s="22">
        <f>F239-F238</f>
        <v>93.34</v>
      </c>
      <c r="G240" s="23">
        <f>(F240-F239)/F239</f>
        <v>-0.13373549883990715</v>
      </c>
      <c r="H240" s="20"/>
      <c r="I240" s="20"/>
      <c r="J240" s="22">
        <f>J239-J238</f>
        <v>94.02</v>
      </c>
      <c r="K240" s="26">
        <f>(J240-F240)*C238*100</f>
        <v>203.99999999999778</v>
      </c>
      <c r="L240" s="23"/>
      <c r="M240" s="23">
        <f>K240/(F239*C238*100)</f>
        <v>6.310904872389723E-3</v>
      </c>
      <c r="N240" s="20"/>
      <c r="O240" s="22">
        <f>K240-($N$2*2)</f>
        <v>202.67999999999779</v>
      </c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1:34" ht="13" x14ac:dyDescent="0.15">
      <c r="A241" s="12"/>
      <c r="B241" s="13"/>
      <c r="C241" s="13"/>
      <c r="D241" s="13"/>
      <c r="E241" s="12"/>
      <c r="F241" s="13"/>
      <c r="G241" s="13"/>
      <c r="H241" s="13"/>
      <c r="I241" s="13"/>
      <c r="J241" s="15"/>
      <c r="K241" s="16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spans="1:34" ht="13" x14ac:dyDescent="0.15">
      <c r="A242" s="69">
        <v>45954</v>
      </c>
      <c r="B242" s="70" t="s">
        <v>48</v>
      </c>
      <c r="C242" s="70">
        <v>1</v>
      </c>
      <c r="D242" s="20" t="s">
        <v>90</v>
      </c>
      <c r="E242" s="20">
        <v>10</v>
      </c>
      <c r="F242" s="20">
        <v>7.69</v>
      </c>
      <c r="G242" s="21"/>
      <c r="H242" s="21">
        <v>0.5</v>
      </c>
      <c r="I242" s="23"/>
      <c r="J242" s="22">
        <v>10.66</v>
      </c>
      <c r="K242" s="22">
        <f>(F242-J242)*100*C242</f>
        <v>-297</v>
      </c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1:34" ht="13" x14ac:dyDescent="0.15">
      <c r="A243" s="68"/>
      <c r="B243" s="68"/>
      <c r="C243" s="68"/>
      <c r="D243" s="20" t="s">
        <v>91</v>
      </c>
      <c r="E243" s="20"/>
      <c r="F243" s="22">
        <v>49.69</v>
      </c>
      <c r="G243" s="72" t="str">
        <f>IF(J243&gt;F244,"Did not breach BE ✅","breached BE")</f>
        <v>Did not breach BE ✅</v>
      </c>
      <c r="H243" s="68"/>
      <c r="I243" s="68"/>
      <c r="J243" s="22">
        <v>53.01</v>
      </c>
      <c r="K243" s="22">
        <f>(J243-F243)*100*C242</f>
        <v>332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1:34" ht="13" x14ac:dyDescent="0.15">
      <c r="A244" s="19"/>
      <c r="B244" s="20"/>
      <c r="C244" s="25" t="s">
        <v>51</v>
      </c>
      <c r="D244" s="25" t="s">
        <v>32</v>
      </c>
      <c r="E244" s="19"/>
      <c r="F244" s="22">
        <f>F243-F242</f>
        <v>42</v>
      </c>
      <c r="G244" s="23">
        <f>(F244-F243)/F243</f>
        <v>-0.15475950895552421</v>
      </c>
      <c r="H244" s="20"/>
      <c r="I244" s="20"/>
      <c r="J244" s="22">
        <f>J243-J242</f>
        <v>42.349999999999994</v>
      </c>
      <c r="K244" s="26">
        <f>(J244-F244)*C242*100</f>
        <v>34.999999999999432</v>
      </c>
      <c r="L244" s="23"/>
      <c r="M244" s="23">
        <f>K244/(F243*C242*100)</f>
        <v>7.0436707587038499E-3</v>
      </c>
      <c r="N244" s="20"/>
      <c r="O244" s="22">
        <f>K244-($N$2*2)</f>
        <v>33.679999999999431</v>
      </c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1:34" ht="13" x14ac:dyDescent="0.15">
      <c r="A245" s="12"/>
      <c r="B245" s="13"/>
      <c r="C245" s="13"/>
      <c r="D245" s="13"/>
      <c r="E245" s="12"/>
      <c r="F245" s="13"/>
      <c r="G245" s="13"/>
      <c r="H245" s="13"/>
      <c r="I245" s="13"/>
      <c r="J245" s="15"/>
      <c r="K245" s="16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 spans="1:34" ht="13" x14ac:dyDescent="0.15">
      <c r="A246" s="2" t="s">
        <v>39</v>
      </c>
      <c r="B246" s="13"/>
      <c r="C246" s="13"/>
      <c r="D246" s="13"/>
      <c r="E246" s="12"/>
      <c r="F246" s="13"/>
      <c r="G246" s="13"/>
      <c r="H246" s="13"/>
      <c r="I246" s="13"/>
      <c r="J246" s="15"/>
      <c r="K246" s="16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 spans="1:34" ht="13" x14ac:dyDescent="0.15">
      <c r="A247" s="69">
        <v>45957</v>
      </c>
      <c r="B247" s="70" t="s">
        <v>48</v>
      </c>
      <c r="C247" s="70">
        <v>1</v>
      </c>
      <c r="D247" s="20" t="s">
        <v>92</v>
      </c>
      <c r="E247" s="20">
        <v>11</v>
      </c>
      <c r="F247" s="20">
        <v>14.03</v>
      </c>
      <c r="G247" s="21"/>
      <c r="H247" s="21">
        <v>0.81</v>
      </c>
      <c r="I247" s="23"/>
      <c r="J247" s="22">
        <v>16.61</v>
      </c>
      <c r="K247" s="22">
        <f>(F247-J247)*100*C247</f>
        <v>-258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1:34" ht="13" x14ac:dyDescent="0.15">
      <c r="A248" s="68"/>
      <c r="B248" s="68"/>
      <c r="C248" s="68"/>
      <c r="D248" s="20" t="s">
        <v>31</v>
      </c>
      <c r="E248" s="20"/>
      <c r="F248" s="22">
        <v>115.18</v>
      </c>
      <c r="G248" s="72" t="str">
        <f>IF(J248&gt;F249,"Did not breach BE ✅","breached BE")</f>
        <v>Did not breach BE ✅</v>
      </c>
      <c r="H248" s="68"/>
      <c r="I248" s="68"/>
      <c r="J248" s="52">
        <v>118.36</v>
      </c>
      <c r="K248" s="22">
        <f>(J248-F248)*100*C247</f>
        <v>317.99999999999926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1:34" ht="13" x14ac:dyDescent="0.15">
      <c r="A249" s="19"/>
      <c r="B249" s="20"/>
      <c r="C249" s="25" t="s">
        <v>51</v>
      </c>
      <c r="D249" s="25" t="s">
        <v>32</v>
      </c>
      <c r="E249" s="19"/>
      <c r="F249" s="22">
        <f>F248-F247</f>
        <v>101.15</v>
      </c>
      <c r="G249" s="23">
        <f>(F249-F248)/F248</f>
        <v>-0.12180934189963535</v>
      </c>
      <c r="H249" s="20"/>
      <c r="I249" s="20"/>
      <c r="J249" s="22">
        <f>J248-J247</f>
        <v>101.75</v>
      </c>
      <c r="K249" s="26">
        <f>(J249-F249)*C247*100</f>
        <v>59.999999999999432</v>
      </c>
      <c r="L249" s="23"/>
      <c r="M249" s="23">
        <f>K249/(F248*C247*100)</f>
        <v>5.2092377148810062E-3</v>
      </c>
      <c r="N249" s="20"/>
      <c r="O249" s="22">
        <f>K249-($N$2*2)</f>
        <v>58.679999999999431</v>
      </c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1:34" ht="13" x14ac:dyDescent="0.15">
      <c r="A250" s="12"/>
      <c r="B250" s="13"/>
      <c r="C250" s="13"/>
      <c r="D250" s="13"/>
      <c r="E250" s="12"/>
      <c r="F250" s="13"/>
      <c r="G250" s="13"/>
      <c r="H250" s="13"/>
      <c r="I250" s="13"/>
      <c r="J250" s="15"/>
      <c r="K250" s="16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spans="1:34" ht="13" x14ac:dyDescent="0.15">
      <c r="A251" s="69">
        <v>45958</v>
      </c>
      <c r="B251" s="70" t="s">
        <v>48</v>
      </c>
      <c r="C251" s="70">
        <v>1</v>
      </c>
      <c r="D251" s="20" t="s">
        <v>93</v>
      </c>
      <c r="E251" s="20">
        <v>10</v>
      </c>
      <c r="F251" s="20">
        <v>17.3</v>
      </c>
      <c r="G251" s="21"/>
      <c r="H251" s="21">
        <v>0.77</v>
      </c>
      <c r="I251" s="23"/>
      <c r="J251" s="22">
        <v>4.21</v>
      </c>
      <c r="K251" s="22">
        <f>(F251-J251)*100*C251</f>
        <v>1309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1:34" ht="13" x14ac:dyDescent="0.15">
      <c r="A252" s="68"/>
      <c r="B252" s="68"/>
      <c r="C252" s="68"/>
      <c r="D252" s="20" t="s">
        <v>31</v>
      </c>
      <c r="E252" s="20"/>
      <c r="F252" s="22">
        <v>118.1</v>
      </c>
      <c r="G252" s="72" t="str">
        <f>IF(J252&gt;F253,"Did not breach BE ✅","breached BE")</f>
        <v>Did not breach BE ✅</v>
      </c>
      <c r="H252" s="68"/>
      <c r="I252" s="68"/>
      <c r="J252" s="52">
        <v>105.78</v>
      </c>
      <c r="K252" s="22">
        <f>(J252-F252)*100*C251</f>
        <v>-1231.9999999999993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1:34" ht="13" x14ac:dyDescent="0.15">
      <c r="A253" s="19"/>
      <c r="B253" s="20"/>
      <c r="C253" s="25" t="s">
        <v>51</v>
      </c>
      <c r="D253" s="25" t="s">
        <v>32</v>
      </c>
      <c r="E253" s="19"/>
      <c r="F253" s="22">
        <f>F252-F251</f>
        <v>100.8</v>
      </c>
      <c r="G253" s="23">
        <f>(F253-F252)/F252</f>
        <v>-0.1464860287891617</v>
      </c>
      <c r="H253" s="20"/>
      <c r="I253" s="20"/>
      <c r="J253" s="22">
        <f>J252-J251</f>
        <v>101.57000000000001</v>
      </c>
      <c r="K253" s="26">
        <f>(J253-F253)*C251*100</f>
        <v>77.000000000001023</v>
      </c>
      <c r="L253" s="23"/>
      <c r="M253" s="23">
        <f>K253/(F252*C251*100)</f>
        <v>6.5198983911939901E-3</v>
      </c>
      <c r="N253" s="20"/>
      <c r="O253" s="22">
        <f>K253-($N$2*2)</f>
        <v>75.68000000000103</v>
      </c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1:34" ht="13" x14ac:dyDescent="0.15">
      <c r="A254" s="12"/>
      <c r="B254" s="13"/>
      <c r="C254" s="13"/>
      <c r="D254" s="13"/>
      <c r="E254" s="12"/>
      <c r="F254" s="13"/>
      <c r="G254" s="13"/>
      <c r="H254" s="13"/>
      <c r="I254" s="13"/>
      <c r="J254" s="15"/>
      <c r="K254" s="16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spans="1:34" ht="13" x14ac:dyDescent="0.15">
      <c r="A255" s="69">
        <v>45958</v>
      </c>
      <c r="B255" s="70" t="s">
        <v>48</v>
      </c>
      <c r="C255" s="70">
        <v>1</v>
      </c>
      <c r="D255" s="20" t="s">
        <v>94</v>
      </c>
      <c r="E255" s="20">
        <v>3</v>
      </c>
      <c r="F255" s="20">
        <v>8.19</v>
      </c>
      <c r="G255" s="21"/>
      <c r="H255" s="21">
        <v>1</v>
      </c>
      <c r="I255" s="23"/>
      <c r="J255" s="22">
        <v>5.95</v>
      </c>
      <c r="K255" s="22">
        <f>(F255-J255)*100*C255</f>
        <v>223.99999999999994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1:34" ht="13" x14ac:dyDescent="0.15">
      <c r="A256" s="68"/>
      <c r="B256" s="68"/>
      <c r="C256" s="68"/>
      <c r="D256" s="20" t="s">
        <v>31</v>
      </c>
      <c r="E256" s="20"/>
      <c r="F256" s="22">
        <v>118.23</v>
      </c>
      <c r="G256" s="72" t="str">
        <f>IF(J256&gt;F257,"Did not breach BE ✅","breached BE")</f>
        <v>Did not breach BE ✅</v>
      </c>
      <c r="H256" s="68"/>
      <c r="I256" s="68"/>
      <c r="J256" s="52">
        <f>J248</f>
        <v>118.36</v>
      </c>
      <c r="K256" s="22">
        <f>(J256-F256)*100*C255</f>
        <v>12.999999999999545</v>
      </c>
      <c r="L256" s="20"/>
      <c r="M256" s="20"/>
      <c r="N256" s="20"/>
      <c r="O256" s="20"/>
      <c r="P256" s="20"/>
      <c r="Q256" s="27">
        <v>45931</v>
      </c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1:34" ht="13" x14ac:dyDescent="0.15">
      <c r="A257" s="19"/>
      <c r="B257" s="20"/>
      <c r="C257" s="25" t="s">
        <v>51</v>
      </c>
      <c r="D257" s="25" t="s">
        <v>32</v>
      </c>
      <c r="E257" s="19"/>
      <c r="F257" s="22">
        <f>F256-F255</f>
        <v>110.04</v>
      </c>
      <c r="G257" s="23">
        <f>(F257-F256)/F256</f>
        <v>-6.9271758436944914E-2</v>
      </c>
      <c r="H257" s="20"/>
      <c r="I257" s="20"/>
      <c r="J257" s="22">
        <f>J256-J255</f>
        <v>112.41</v>
      </c>
      <c r="K257" s="26">
        <f>(J257-F257)*C255*100</f>
        <v>236.99999999999903</v>
      </c>
      <c r="L257" s="23"/>
      <c r="M257" s="23">
        <f>K257/(F256*C255*100)</f>
        <v>2.004567368688142E-2</v>
      </c>
      <c r="N257" s="20"/>
      <c r="O257" s="22">
        <f>K257-($N$2*2)</f>
        <v>235.67999999999904</v>
      </c>
      <c r="P257" s="20"/>
      <c r="Q257" s="22">
        <f>SUM(O215:O257)</f>
        <v>1956.7999999999915</v>
      </c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1:34" ht="13" x14ac:dyDescent="0.15">
      <c r="A258" s="55"/>
      <c r="B258" s="56"/>
      <c r="C258" s="56"/>
      <c r="D258" s="56"/>
      <c r="E258" s="55"/>
      <c r="F258" s="56"/>
      <c r="G258" s="56"/>
      <c r="H258" s="56"/>
      <c r="I258" s="56"/>
      <c r="J258" s="57"/>
      <c r="K258" s="58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</row>
    <row r="259" spans="1:34" ht="13" x14ac:dyDescent="0.15">
      <c r="A259" s="2" t="s">
        <v>39</v>
      </c>
      <c r="B259" s="13"/>
      <c r="C259" s="13"/>
      <c r="D259" s="13"/>
      <c r="E259" s="12"/>
      <c r="F259" s="13"/>
      <c r="G259" s="13"/>
      <c r="H259" s="13"/>
      <c r="I259" s="13"/>
      <c r="J259" s="15"/>
      <c r="K259" s="16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 spans="1:34" ht="13" x14ac:dyDescent="0.15">
      <c r="A260" s="69">
        <v>45971</v>
      </c>
      <c r="B260" s="70" t="s">
        <v>48</v>
      </c>
      <c r="C260" s="70">
        <v>5</v>
      </c>
      <c r="D260" s="20" t="s">
        <v>95</v>
      </c>
      <c r="E260" s="20">
        <v>11</v>
      </c>
      <c r="F260" s="20">
        <v>1.1100000000000001</v>
      </c>
      <c r="G260" s="21"/>
      <c r="H260" s="21">
        <v>1.57</v>
      </c>
      <c r="I260" s="23"/>
      <c r="J260" s="22">
        <v>0.15</v>
      </c>
      <c r="K260" s="22">
        <f>(F260-J260)*100*C260</f>
        <v>480.00000000000006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1:34" ht="13" x14ac:dyDescent="0.15">
      <c r="A261" s="68"/>
      <c r="B261" s="68"/>
      <c r="C261" s="68"/>
      <c r="D261" s="20" t="s">
        <v>96</v>
      </c>
      <c r="E261" s="20"/>
      <c r="F261" s="22">
        <v>44.89</v>
      </c>
      <c r="G261" s="72" t="str">
        <f>IF(J261&gt;F262,"Did not breach BE ✅","breached BE")</f>
        <v>Did not breach BE ✅</v>
      </c>
      <c r="H261" s="68"/>
      <c r="I261" s="68"/>
      <c r="J261" s="52">
        <f>F261</f>
        <v>44.89</v>
      </c>
      <c r="K261" s="22">
        <f>(J261-F261)*100*C260</f>
        <v>0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1:34" ht="13" x14ac:dyDescent="0.15">
      <c r="A262" s="19"/>
      <c r="B262" s="20"/>
      <c r="C262" s="25" t="s">
        <v>51</v>
      </c>
      <c r="D262" s="25" t="s">
        <v>32</v>
      </c>
      <c r="E262" s="19"/>
      <c r="F262" s="22">
        <f>F261-F260</f>
        <v>43.78</v>
      </c>
      <c r="G262" s="23">
        <f>(F262-F261)/F261</f>
        <v>-2.4727110715081296E-2</v>
      </c>
      <c r="H262" s="20"/>
      <c r="I262" s="20"/>
      <c r="J262" s="22">
        <f>J261-J260</f>
        <v>44.74</v>
      </c>
      <c r="K262" s="26">
        <f>(J262-F262)*C260*100</f>
        <v>480.00000000000045</v>
      </c>
      <c r="L262" s="23"/>
      <c r="M262" s="23">
        <f>K262/(F261*C260*100)</f>
        <v>2.1385609267097368E-2</v>
      </c>
      <c r="N262" s="20"/>
      <c r="O262" s="22">
        <f>K262-($N$2*2)</f>
        <v>478.68000000000046</v>
      </c>
      <c r="P262" s="20" t="s">
        <v>97</v>
      </c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1:34" ht="13" x14ac:dyDescent="0.15">
      <c r="A263" s="12"/>
      <c r="B263" s="13"/>
      <c r="C263" s="13"/>
      <c r="D263" s="13"/>
      <c r="E263" s="12"/>
      <c r="F263" s="13"/>
      <c r="G263" s="13"/>
      <c r="H263" s="13"/>
      <c r="I263" s="13"/>
      <c r="J263" s="15"/>
      <c r="K263" s="16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 spans="1:34" ht="13" x14ac:dyDescent="0.15">
      <c r="A264" s="69">
        <v>45980</v>
      </c>
      <c r="B264" s="70" t="s">
        <v>48</v>
      </c>
      <c r="C264" s="70">
        <v>5</v>
      </c>
      <c r="D264" s="20" t="s">
        <v>98</v>
      </c>
      <c r="E264" s="20">
        <v>23</v>
      </c>
      <c r="F264" s="20">
        <v>0.84</v>
      </c>
      <c r="G264" s="21"/>
      <c r="H264" s="21">
        <v>0.84</v>
      </c>
      <c r="I264" s="23"/>
      <c r="J264" s="22">
        <v>0.2</v>
      </c>
      <c r="K264" s="22">
        <f>(F264-J264)*100*C264</f>
        <v>319.99999999999994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1:34" ht="13" x14ac:dyDescent="0.15">
      <c r="A265" s="68"/>
      <c r="B265" s="68"/>
      <c r="C265" s="68"/>
      <c r="D265" s="20" t="s">
        <v>96</v>
      </c>
      <c r="E265" s="20"/>
      <c r="F265" s="22">
        <v>32.89</v>
      </c>
      <c r="G265" s="72" t="str">
        <f>IF(J265&gt;F266,"Did not breach BE ✅","breached BE")</f>
        <v>Did not breach BE ✅</v>
      </c>
      <c r="H265" s="68"/>
      <c r="I265" s="68"/>
      <c r="J265" s="52">
        <f>F265</f>
        <v>32.89</v>
      </c>
      <c r="K265" s="22">
        <f>(J265-F265)*100*C264</f>
        <v>0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1:34" ht="13" x14ac:dyDescent="0.15">
      <c r="A266" s="19"/>
      <c r="B266" s="20"/>
      <c r="C266" s="25" t="s">
        <v>51</v>
      </c>
      <c r="D266" s="25" t="s">
        <v>32</v>
      </c>
      <c r="E266" s="19"/>
      <c r="F266" s="22">
        <f>F265-F264</f>
        <v>32.049999999999997</v>
      </c>
      <c r="G266" s="23">
        <f>(F266-F265)/F265</f>
        <v>-2.553967771359086E-2</v>
      </c>
      <c r="H266" s="20"/>
      <c r="I266" s="20"/>
      <c r="J266" s="22">
        <f>J265-J264</f>
        <v>32.69</v>
      </c>
      <c r="K266" s="26">
        <f>(J266-F266)*C264*100</f>
        <v>320.00000000000028</v>
      </c>
      <c r="L266" s="23"/>
      <c r="M266" s="23">
        <f>K266/(F265*C264*100)</f>
        <v>1.9458802067497737E-2</v>
      </c>
      <c r="N266" s="20"/>
      <c r="O266" s="22">
        <f>K266-($N$2*2)</f>
        <v>318.68000000000029</v>
      </c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1:34" ht="13" x14ac:dyDescent="0.15">
      <c r="A267" s="12"/>
      <c r="B267" s="13"/>
      <c r="C267" s="13"/>
      <c r="D267" s="13"/>
      <c r="E267" s="12"/>
      <c r="F267" s="13"/>
      <c r="G267" s="13"/>
      <c r="H267" s="13"/>
      <c r="I267" s="13"/>
      <c r="J267" s="15"/>
      <c r="K267" s="16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spans="1:34" ht="13" x14ac:dyDescent="0.15">
      <c r="A268" s="82">
        <v>45974</v>
      </c>
      <c r="B268" s="70" t="s">
        <v>48</v>
      </c>
      <c r="C268" s="70">
        <v>4</v>
      </c>
      <c r="D268" s="20" t="s">
        <v>99</v>
      </c>
      <c r="E268" s="20">
        <v>7</v>
      </c>
      <c r="F268" s="22">
        <v>5.57</v>
      </c>
      <c r="G268" s="22"/>
      <c r="H268" s="22">
        <v>1.4</v>
      </c>
      <c r="I268" s="22"/>
      <c r="J268" s="22">
        <v>0.8</v>
      </c>
      <c r="K268" s="22">
        <f>(F268-J268)*100*C268</f>
        <v>1908.0000000000002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</row>
    <row r="269" spans="1:34" ht="13" x14ac:dyDescent="0.15">
      <c r="A269" s="68"/>
      <c r="B269" s="68"/>
      <c r="C269" s="68"/>
      <c r="D269" s="20" t="s">
        <v>100</v>
      </c>
      <c r="E269" s="20"/>
      <c r="F269" s="22">
        <v>1.1399999999999999</v>
      </c>
      <c r="G269" s="22"/>
      <c r="H269" s="22">
        <v>1.1399999999999999</v>
      </c>
      <c r="I269" s="22"/>
      <c r="J269" s="22">
        <v>5.5</v>
      </c>
      <c r="K269" s="22">
        <f>(F269-J269)*100*C268</f>
        <v>-1744.0000000000002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</row>
    <row r="270" spans="1:34" ht="13" x14ac:dyDescent="0.15">
      <c r="A270" s="68"/>
      <c r="B270" s="68"/>
      <c r="C270" s="68"/>
      <c r="D270" s="20" t="s">
        <v>31</v>
      </c>
      <c r="E270" s="20"/>
      <c r="F270" s="22">
        <v>53.87</v>
      </c>
      <c r="G270" s="72" t="str">
        <f>IF(J270&gt;F271,"Did not breach BE ✅","breached BE")</f>
        <v>Did not breach BE ✅</v>
      </c>
      <c r="H270" s="68"/>
      <c r="I270" s="68"/>
      <c r="J270" s="52">
        <v>54.54</v>
      </c>
      <c r="K270" s="22">
        <f>(J270-F270)*100*C268</f>
        <v>268.00000000000068</v>
      </c>
      <c r="L270" s="20"/>
      <c r="M270" s="20"/>
      <c r="N270" s="20"/>
      <c r="O270" s="20"/>
      <c r="P270" s="20"/>
      <c r="Q270" s="27">
        <v>45962</v>
      </c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</row>
    <row r="271" spans="1:34" ht="13" x14ac:dyDescent="0.15">
      <c r="A271" s="19"/>
      <c r="B271" s="20"/>
      <c r="C271" s="25" t="s">
        <v>51</v>
      </c>
      <c r="D271" s="25" t="s">
        <v>32</v>
      </c>
      <c r="E271" s="19"/>
      <c r="F271" s="22">
        <f>F270-F268-F269+J268</f>
        <v>47.959999999999994</v>
      </c>
      <c r="G271" s="23">
        <f>(F271-F270)/F270</f>
        <v>-0.10970855763876006</v>
      </c>
      <c r="H271" s="20"/>
      <c r="I271" s="20"/>
      <c r="J271" s="22">
        <f>J270-J269-J268</f>
        <v>48.24</v>
      </c>
      <c r="K271" s="26">
        <f>K270+K269+K268</f>
        <v>432.00000000000068</v>
      </c>
      <c r="L271" s="23"/>
      <c r="M271" s="23">
        <f>K271/(F270*C268*100)</f>
        <v>2.0048264340077997E-2</v>
      </c>
      <c r="N271" s="20"/>
      <c r="O271" s="22">
        <f>K271-($N$2*2)</f>
        <v>430.68000000000069</v>
      </c>
      <c r="P271" s="20"/>
      <c r="Q271" s="22">
        <f>SUM(O260:O271,O277)</f>
        <v>1943.7200000000007</v>
      </c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</row>
    <row r="272" spans="1:34" ht="13" x14ac:dyDescent="0.15">
      <c r="A272" s="12"/>
      <c r="B272" s="13"/>
      <c r="C272" s="13"/>
      <c r="D272" s="13"/>
      <c r="E272" s="12"/>
      <c r="F272" s="13"/>
      <c r="G272" s="13"/>
      <c r="H272" s="13"/>
      <c r="I272" s="13"/>
      <c r="J272" s="15"/>
      <c r="K272" s="16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spans="1:34" ht="13" x14ac:dyDescent="0.15">
      <c r="A273" s="12"/>
      <c r="B273" s="13"/>
      <c r="C273" s="13"/>
      <c r="D273" s="13"/>
      <c r="E273" s="12"/>
      <c r="F273" s="13"/>
      <c r="G273" s="13"/>
      <c r="H273" s="13"/>
      <c r="I273" s="13"/>
      <c r="J273" s="15"/>
      <c r="K273" s="16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spans="1:34" ht="13" x14ac:dyDescent="0.15">
      <c r="A274" s="82">
        <v>45989</v>
      </c>
      <c r="B274" s="70" t="s">
        <v>48</v>
      </c>
      <c r="C274" s="70">
        <v>3</v>
      </c>
      <c r="D274" s="20" t="s">
        <v>101</v>
      </c>
      <c r="E274" s="20">
        <v>5</v>
      </c>
      <c r="F274" s="22">
        <v>0.88</v>
      </c>
      <c r="G274" s="22"/>
      <c r="H274" s="22">
        <v>0.88</v>
      </c>
      <c r="I274" s="22"/>
      <c r="J274" s="22">
        <v>0.97</v>
      </c>
      <c r="K274" s="22">
        <f>(F274-J274)*100*C274</f>
        <v>-26.999999999999989</v>
      </c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</row>
    <row r="275" spans="1:34" ht="13" x14ac:dyDescent="0.15">
      <c r="A275" s="68"/>
      <c r="B275" s="68"/>
      <c r="C275" s="68"/>
      <c r="D275" s="20"/>
      <c r="E275" s="20"/>
      <c r="F275" s="22"/>
      <c r="G275" s="22"/>
      <c r="H275" s="22"/>
      <c r="I275" s="22"/>
      <c r="J275" s="22"/>
      <c r="K275" s="22">
        <f>(F275-J275)*100*C274</f>
        <v>0</v>
      </c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</row>
    <row r="276" spans="1:34" ht="13" x14ac:dyDescent="0.15">
      <c r="A276" s="68"/>
      <c r="B276" s="68"/>
      <c r="C276" s="68"/>
      <c r="D276" s="20" t="s">
        <v>96</v>
      </c>
      <c r="E276" s="20"/>
      <c r="F276" s="22">
        <v>53.67</v>
      </c>
      <c r="G276" s="72" t="str">
        <f>IF(J276&gt;F277,"Did not breach BE ✅","breached BE")</f>
        <v>Did not breach BE ✅</v>
      </c>
      <c r="H276" s="68"/>
      <c r="I276" s="68"/>
      <c r="J276" s="52">
        <v>56.15</v>
      </c>
      <c r="K276" s="22">
        <f>(J276-F276)*100*C274</f>
        <v>743.99999999999909</v>
      </c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</row>
    <row r="277" spans="1:34" ht="13" x14ac:dyDescent="0.15">
      <c r="A277" s="19"/>
      <c r="B277" s="20"/>
      <c r="C277" s="25" t="s">
        <v>51</v>
      </c>
      <c r="D277" s="25" t="s">
        <v>32</v>
      </c>
      <c r="E277" s="19"/>
      <c r="F277" s="22">
        <f>F276-F274</f>
        <v>52.79</v>
      </c>
      <c r="G277" s="23">
        <f>(F277-F276)/F276</f>
        <v>-1.6396497111980671E-2</v>
      </c>
      <c r="H277" s="20"/>
      <c r="I277" s="22">
        <f>(J277-F277)*C274*100</f>
        <v>717.00000000000023</v>
      </c>
      <c r="J277" s="22">
        <f>J276-J275-J274</f>
        <v>55.18</v>
      </c>
      <c r="K277" s="26">
        <f>K276+K275+K274</f>
        <v>716.99999999999909</v>
      </c>
      <c r="L277" s="22">
        <f>(J277-F277)*100*C274</f>
        <v>717.00000000000023</v>
      </c>
      <c r="M277" s="23">
        <f>K277/(F276*C274*100)</f>
        <v>4.4531395565492772E-2</v>
      </c>
      <c r="N277" s="20"/>
      <c r="O277" s="22">
        <f>K277-($N$2*2)</f>
        <v>715.67999999999904</v>
      </c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</row>
    <row r="278" spans="1:34" ht="13" x14ac:dyDescent="0.15">
      <c r="A278" s="12"/>
      <c r="B278" s="13"/>
      <c r="C278" s="13"/>
      <c r="D278" s="13"/>
      <c r="E278" s="12"/>
      <c r="F278" s="13"/>
      <c r="G278" s="13"/>
      <c r="H278" s="13"/>
      <c r="I278" s="13"/>
      <c r="J278" s="15"/>
      <c r="K278" s="16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spans="1:34" ht="13" x14ac:dyDescent="0.15">
      <c r="A279" s="82">
        <v>45992</v>
      </c>
      <c r="B279" s="70" t="s">
        <v>48</v>
      </c>
      <c r="C279" s="70">
        <v>1</v>
      </c>
      <c r="D279" s="20" t="s">
        <v>102</v>
      </c>
      <c r="E279" s="20">
        <v>3</v>
      </c>
      <c r="F279" s="22">
        <v>1.6</v>
      </c>
      <c r="G279" s="22"/>
      <c r="H279" s="22">
        <v>1</v>
      </c>
      <c r="I279" s="22"/>
      <c r="J279" s="22">
        <v>2.19</v>
      </c>
      <c r="K279" s="22">
        <f>(F279-J279)*100*C279</f>
        <v>-58.999999999999986</v>
      </c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</row>
    <row r="280" spans="1:34" ht="13" x14ac:dyDescent="0.15">
      <c r="A280" s="68"/>
      <c r="B280" s="68"/>
      <c r="C280" s="68"/>
      <c r="D280" s="20"/>
      <c r="E280" s="20"/>
      <c r="F280" s="22"/>
      <c r="G280" s="22"/>
      <c r="H280" s="22"/>
      <c r="I280" s="22"/>
      <c r="J280" s="22"/>
      <c r="K280" s="22">
        <f>(F280-J280)*100*C279</f>
        <v>0</v>
      </c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</row>
    <row r="281" spans="1:34" ht="13" x14ac:dyDescent="0.15">
      <c r="A281" s="68"/>
      <c r="B281" s="68"/>
      <c r="C281" s="68"/>
      <c r="D281" s="20" t="s">
        <v>31</v>
      </c>
      <c r="E281" s="20"/>
      <c r="F281" s="22">
        <v>55.22</v>
      </c>
      <c r="G281" s="72" t="str">
        <f>IF(J281&gt;F282,"Did not breach BE ✅","breached BE")</f>
        <v>Did not breach BE ✅</v>
      </c>
      <c r="H281" s="68"/>
      <c r="I281" s="68"/>
      <c r="J281" s="52">
        <v>56.59</v>
      </c>
      <c r="K281" s="22">
        <f>(J281-F281)*100*C279</f>
        <v>137.00000000000045</v>
      </c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</row>
    <row r="282" spans="1:34" ht="13" x14ac:dyDescent="0.15">
      <c r="A282" s="19"/>
      <c r="B282" s="20"/>
      <c r="C282" s="25" t="s">
        <v>51</v>
      </c>
      <c r="D282" s="25" t="s">
        <v>32</v>
      </c>
      <c r="E282" s="19"/>
      <c r="F282" s="22">
        <f>F281-F279</f>
        <v>53.62</v>
      </c>
      <c r="G282" s="23">
        <f>(F282-F281)/F281</f>
        <v>-2.8975009054690356E-2</v>
      </c>
      <c r="H282" s="20"/>
      <c r="I282" s="20"/>
      <c r="J282" s="22">
        <f>J281-J280-J279</f>
        <v>54.400000000000006</v>
      </c>
      <c r="K282" s="26">
        <f>K281+K280+K279</f>
        <v>78.000000000000469</v>
      </c>
      <c r="L282" s="22">
        <f>(J282-F282)*100*C279</f>
        <v>78.000000000000824</v>
      </c>
      <c r="M282" s="23">
        <f>K282/(F281*C279*100)</f>
        <v>1.412531691416162E-2</v>
      </c>
      <c r="N282" s="20"/>
      <c r="O282" s="22">
        <f>K282-($N$2*2)</f>
        <v>76.680000000000476</v>
      </c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</row>
    <row r="283" spans="1:34" ht="13" x14ac:dyDescent="0.15">
      <c r="A283" s="12"/>
      <c r="B283" s="13"/>
      <c r="C283" s="13"/>
      <c r="D283" s="13"/>
      <c r="E283" s="12"/>
      <c r="F283" s="13"/>
      <c r="G283" s="13"/>
      <c r="H283" s="13"/>
      <c r="I283" s="13"/>
      <c r="J283" s="15"/>
      <c r="K283" s="16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 spans="1:34" ht="13" x14ac:dyDescent="0.15">
      <c r="A284" s="2" t="s">
        <v>39</v>
      </c>
      <c r="B284" s="13"/>
      <c r="C284" s="13"/>
      <c r="D284" s="13"/>
      <c r="E284" s="12"/>
      <c r="F284" s="13"/>
      <c r="G284" s="13"/>
      <c r="H284" s="13"/>
      <c r="I284" s="13"/>
      <c r="J284" s="15"/>
      <c r="K284" s="16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 spans="1:34" ht="13" x14ac:dyDescent="0.15">
      <c r="A285" s="82">
        <v>45999</v>
      </c>
      <c r="B285" s="70" t="s">
        <v>48</v>
      </c>
      <c r="C285" s="70">
        <v>1</v>
      </c>
      <c r="D285" s="20" t="s">
        <v>103</v>
      </c>
      <c r="E285" s="20">
        <v>4</v>
      </c>
      <c r="F285" s="22">
        <v>5.07</v>
      </c>
      <c r="G285" s="22"/>
      <c r="H285" s="22">
        <v>0.43</v>
      </c>
      <c r="I285" s="22"/>
      <c r="J285" s="22">
        <v>0.83499999999999996</v>
      </c>
      <c r="K285" s="22">
        <f>(F285-J285)*100*C285</f>
        <v>423.50000000000006</v>
      </c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</row>
    <row r="286" spans="1:34" ht="13" x14ac:dyDescent="0.15">
      <c r="A286" s="68"/>
      <c r="B286" s="68"/>
      <c r="C286" s="68"/>
      <c r="D286" s="20" t="s">
        <v>104</v>
      </c>
      <c r="E286" s="20"/>
      <c r="F286" s="22"/>
      <c r="G286" s="22"/>
      <c r="H286" s="22"/>
      <c r="I286" s="22"/>
      <c r="J286" s="22"/>
      <c r="K286" s="22">
        <f>(F286-J286)*100*C285</f>
        <v>0</v>
      </c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</row>
    <row r="287" spans="1:34" ht="13" x14ac:dyDescent="0.15">
      <c r="A287" s="68"/>
      <c r="B287" s="68"/>
      <c r="C287" s="68"/>
      <c r="D287" s="20" t="s">
        <v>31</v>
      </c>
      <c r="E287" s="20"/>
      <c r="F287" s="22">
        <v>56.72</v>
      </c>
      <c r="G287" s="72" t="str">
        <f>IF(J287&gt;F288,"Did not breach BE ✅","breached BE")</f>
        <v>Did not breach BE ✅</v>
      </c>
      <c r="H287" s="68"/>
      <c r="I287" s="68"/>
      <c r="J287" s="52">
        <v>52.82</v>
      </c>
      <c r="K287" s="22">
        <f>(J287-F287)*100*C285</f>
        <v>-389.99999999999989</v>
      </c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</row>
    <row r="288" spans="1:34" ht="13" x14ac:dyDescent="0.15">
      <c r="A288" s="19"/>
      <c r="B288" s="20"/>
      <c r="C288" s="25" t="s">
        <v>51</v>
      </c>
      <c r="D288" s="25" t="s">
        <v>32</v>
      </c>
      <c r="E288" s="19"/>
      <c r="F288" s="22">
        <f>F287-F285</f>
        <v>51.65</v>
      </c>
      <c r="G288" s="23">
        <f>(F288-F287)/F287</f>
        <v>-8.9386459802538801E-2</v>
      </c>
      <c r="H288" s="20"/>
      <c r="I288" s="20"/>
      <c r="J288" s="22">
        <f>J287-J286-J285</f>
        <v>51.984999999999999</v>
      </c>
      <c r="K288" s="26">
        <f>K287+K286+K285</f>
        <v>33.500000000000171</v>
      </c>
      <c r="L288" s="22">
        <f>(J288-F288)*100*C285</f>
        <v>33.500000000000085</v>
      </c>
      <c r="M288" s="23">
        <f>K288/(F287*C285*100)</f>
        <v>5.9062059238364191E-3</v>
      </c>
      <c r="N288" s="20"/>
      <c r="O288" s="22">
        <f>K288-($N$2*2)</f>
        <v>32.18000000000017</v>
      </c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</row>
    <row r="289" spans="1:34" ht="13" x14ac:dyDescent="0.15">
      <c r="A289" s="12"/>
      <c r="B289" s="13"/>
      <c r="C289" s="13"/>
      <c r="D289" s="13"/>
      <c r="E289" s="12"/>
      <c r="F289" s="13"/>
      <c r="G289" s="13"/>
      <c r="H289" s="13"/>
      <c r="I289" s="13"/>
      <c r="J289" s="15"/>
      <c r="K289" s="16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 spans="1:34" ht="13" x14ac:dyDescent="0.15">
      <c r="A290" s="82">
        <v>45999</v>
      </c>
      <c r="B290" s="70" t="s">
        <v>48</v>
      </c>
      <c r="C290" s="70">
        <v>1</v>
      </c>
      <c r="D290" s="20" t="s">
        <v>105</v>
      </c>
      <c r="E290" s="20">
        <v>4</v>
      </c>
      <c r="F290" s="22">
        <v>6.14</v>
      </c>
      <c r="G290" s="22"/>
      <c r="H290" s="22">
        <v>1</v>
      </c>
      <c r="I290" s="22"/>
      <c r="J290" s="22">
        <v>2.75</v>
      </c>
      <c r="K290" s="22">
        <f>(F290-J290)*100*C290</f>
        <v>338.99999999999994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</row>
    <row r="291" spans="1:34" ht="13" x14ac:dyDescent="0.15">
      <c r="A291" s="68"/>
      <c r="B291" s="68"/>
      <c r="C291" s="68"/>
      <c r="D291" s="20" t="s">
        <v>106</v>
      </c>
      <c r="E291" s="20"/>
      <c r="F291" s="22"/>
      <c r="G291" s="22"/>
      <c r="H291" s="22"/>
      <c r="I291" s="22"/>
      <c r="J291" s="22"/>
      <c r="K291" s="22">
        <f>(F291-J291)*100*C290</f>
        <v>0</v>
      </c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</row>
    <row r="292" spans="1:34" ht="13" x14ac:dyDescent="0.15">
      <c r="A292" s="68"/>
      <c r="B292" s="68"/>
      <c r="C292" s="68"/>
      <c r="D292" s="20" t="s">
        <v>107</v>
      </c>
      <c r="E292" s="20"/>
      <c r="F292" s="22">
        <v>118.14</v>
      </c>
      <c r="G292" s="72" t="str">
        <f>IF(J292&gt;F293,"Did not breach BE ✅","breached BE")</f>
        <v>Did not breach BE ✅</v>
      </c>
      <c r="H292" s="68"/>
      <c r="I292" s="68"/>
      <c r="J292" s="52">
        <v>115.72</v>
      </c>
      <c r="K292" s="22">
        <f>(J292-F292)*100*C290</f>
        <v>-242.00000000000017</v>
      </c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</row>
    <row r="293" spans="1:34" ht="13" x14ac:dyDescent="0.15">
      <c r="A293" s="19"/>
      <c r="B293" s="20"/>
      <c r="C293" s="25" t="s">
        <v>51</v>
      </c>
      <c r="D293" s="25" t="s">
        <v>32</v>
      </c>
      <c r="E293" s="19"/>
      <c r="F293" s="22">
        <f>F292-F290</f>
        <v>112</v>
      </c>
      <c r="G293" s="23">
        <f>(F293-F292)/F292</f>
        <v>-5.1972236329778231E-2</v>
      </c>
      <c r="H293" s="20"/>
      <c r="I293" s="20"/>
      <c r="J293" s="22">
        <f>J292-J291-J290</f>
        <v>112.97</v>
      </c>
      <c r="K293" s="26">
        <f>K292+K291+K290</f>
        <v>96.999999999999773</v>
      </c>
      <c r="L293" s="22">
        <f>(J293-F293)*100*C290</f>
        <v>96.999999999999886</v>
      </c>
      <c r="M293" s="23">
        <f>K293/(F292*C290*100)</f>
        <v>8.210597596072438E-3</v>
      </c>
      <c r="N293" s="20"/>
      <c r="O293" s="22">
        <f>K293-($N$2*2)</f>
        <v>95.679999999999779</v>
      </c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</row>
    <row r="294" spans="1:34" ht="13" x14ac:dyDescent="0.15">
      <c r="A294" s="12"/>
      <c r="B294" s="13"/>
      <c r="C294" s="13"/>
      <c r="D294" s="13"/>
      <c r="E294" s="12"/>
      <c r="F294" s="13"/>
      <c r="G294" s="13"/>
      <c r="H294" s="13"/>
      <c r="I294" s="13"/>
      <c r="J294" s="15"/>
      <c r="K294" s="16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 spans="1:34" ht="13" x14ac:dyDescent="0.15">
      <c r="A295" s="82">
        <v>45999</v>
      </c>
      <c r="B295" s="70" t="s">
        <v>48</v>
      </c>
      <c r="C295" s="70">
        <v>1</v>
      </c>
      <c r="D295" s="20" t="s">
        <v>108</v>
      </c>
      <c r="E295" s="20">
        <v>1</v>
      </c>
      <c r="F295" s="22">
        <v>0.62</v>
      </c>
      <c r="G295" s="22"/>
      <c r="H295" s="22">
        <v>0.43</v>
      </c>
      <c r="I295" s="22"/>
      <c r="J295" s="22">
        <v>0.01</v>
      </c>
      <c r="K295" s="22">
        <f>(F295-J295)*100*C295</f>
        <v>61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</row>
    <row r="296" spans="1:34" ht="13" x14ac:dyDescent="0.15">
      <c r="A296" s="68"/>
      <c r="B296" s="68"/>
      <c r="C296" s="68"/>
      <c r="D296" s="20" t="s">
        <v>109</v>
      </c>
      <c r="E296" s="20">
        <v>4</v>
      </c>
      <c r="F296" s="22">
        <v>0.57999999999999996</v>
      </c>
      <c r="G296" s="22"/>
      <c r="H296" s="22">
        <v>0.57999999999999996</v>
      </c>
      <c r="I296" s="22"/>
      <c r="J296" s="22">
        <v>0.01</v>
      </c>
      <c r="K296" s="22">
        <f>(F296-J296)*100*C295</f>
        <v>56.999999999999993</v>
      </c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</row>
    <row r="297" spans="1:34" ht="13" x14ac:dyDescent="0.15">
      <c r="A297" s="68"/>
      <c r="B297" s="68"/>
      <c r="C297" s="68"/>
      <c r="D297" s="20" t="s">
        <v>109</v>
      </c>
      <c r="E297" s="20">
        <v>7</v>
      </c>
      <c r="F297" s="22">
        <v>0.19</v>
      </c>
      <c r="G297" s="24"/>
      <c r="H297" s="22">
        <v>0.18</v>
      </c>
      <c r="I297" s="24"/>
      <c r="J297" s="22">
        <v>0.01</v>
      </c>
      <c r="K297" s="60">
        <f>(F297-J297)*100*C295</f>
        <v>18</v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</row>
    <row r="298" spans="1:34" ht="13" x14ac:dyDescent="0.15">
      <c r="A298" s="19"/>
      <c r="B298" s="20"/>
      <c r="C298" s="20">
        <v>1</v>
      </c>
      <c r="D298" s="20" t="s">
        <v>109</v>
      </c>
      <c r="E298" s="20">
        <v>4</v>
      </c>
      <c r="F298" s="22">
        <v>0.47</v>
      </c>
      <c r="G298" s="20"/>
      <c r="H298" s="20">
        <v>0.47</v>
      </c>
      <c r="I298" s="20"/>
      <c r="J298" s="52">
        <v>0.04</v>
      </c>
      <c r="K298" s="60">
        <f>(F298-J298)*100*C295</f>
        <v>43</v>
      </c>
      <c r="L298" s="22"/>
      <c r="M298" s="23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</row>
    <row r="299" spans="1:34" ht="13" x14ac:dyDescent="0.15">
      <c r="A299" s="19"/>
      <c r="B299" s="20"/>
      <c r="C299" s="20">
        <v>1</v>
      </c>
      <c r="D299" s="20" t="s">
        <v>109</v>
      </c>
      <c r="E299" s="20">
        <v>7</v>
      </c>
      <c r="F299" s="22">
        <v>0.82</v>
      </c>
      <c r="G299" s="20"/>
      <c r="H299" s="20">
        <v>0.82</v>
      </c>
      <c r="I299" s="23">
        <f>H299/F301</f>
        <v>1.6518936341659948E-2</v>
      </c>
      <c r="J299" s="52">
        <v>0.3</v>
      </c>
      <c r="K299" s="22">
        <f>(F299-J299)*100*C299</f>
        <v>52</v>
      </c>
      <c r="L299" s="22"/>
      <c r="M299" s="23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</row>
    <row r="300" spans="1:34" ht="13" x14ac:dyDescent="0.15">
      <c r="A300" s="19"/>
      <c r="B300" s="20"/>
      <c r="C300" s="25"/>
      <c r="D300" s="20" t="s">
        <v>31</v>
      </c>
      <c r="E300" s="20"/>
      <c r="F300" s="22">
        <v>52.32</v>
      </c>
      <c r="G300" s="72" t="str">
        <f>IF(J300&gt;F301,"Did not breach BE ✅","breached BE")</f>
        <v>Did not breach BE ✅</v>
      </c>
      <c r="H300" s="68"/>
      <c r="I300" s="68"/>
      <c r="J300" s="52">
        <v>55.76</v>
      </c>
      <c r="K300" s="22">
        <f>(J300-F300)*100*C295</f>
        <v>343.99999999999977</v>
      </c>
      <c r="L300" s="22"/>
      <c r="M300" s="23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</row>
    <row r="301" spans="1:34" ht="13" x14ac:dyDescent="0.15">
      <c r="A301" s="19"/>
      <c r="B301" s="20"/>
      <c r="C301" s="25" t="s">
        <v>51</v>
      </c>
      <c r="D301" s="25" t="s">
        <v>32</v>
      </c>
      <c r="E301" s="19"/>
      <c r="F301" s="22">
        <f>F300-F295-F296-F297-F298-F299</f>
        <v>49.640000000000008</v>
      </c>
      <c r="G301" s="23">
        <f>(F301-F300)/F300</f>
        <v>-5.1223241590213929E-2</v>
      </c>
      <c r="H301" s="20"/>
      <c r="I301" s="20"/>
      <c r="J301" s="22">
        <f>J300-J296-J295-J297-J298-J299</f>
        <v>55.390000000000008</v>
      </c>
      <c r="K301" s="26">
        <f>K300+K296+K295+K297+K298+K299</f>
        <v>574.99999999999977</v>
      </c>
      <c r="L301" s="22">
        <f>(J301-F301)*100*C295</f>
        <v>575</v>
      </c>
      <c r="M301" s="23">
        <f>O301/(F300*C295*100)</f>
        <v>0.1086391437308868</v>
      </c>
      <c r="N301" s="20"/>
      <c r="O301" s="22">
        <f>K301-($N$2*10)</f>
        <v>568.39999999999975</v>
      </c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</row>
    <row r="302" spans="1:34" ht="13" x14ac:dyDescent="0.15">
      <c r="A302" s="12"/>
      <c r="B302" s="13"/>
      <c r="C302" s="13"/>
      <c r="D302" s="13"/>
      <c r="E302" s="12"/>
      <c r="F302" s="13"/>
      <c r="G302" s="13"/>
      <c r="H302" s="13"/>
      <c r="I302" s="13"/>
      <c r="J302" s="15"/>
      <c r="K302" s="16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spans="1:34" ht="13" x14ac:dyDescent="0.15">
      <c r="A303" s="61" t="s">
        <v>39</v>
      </c>
      <c r="B303" s="62"/>
      <c r="C303" s="62"/>
      <c r="D303" s="13"/>
      <c r="E303" s="13"/>
      <c r="F303" s="35"/>
      <c r="G303" s="35"/>
      <c r="H303" s="35"/>
      <c r="I303" s="35"/>
      <c r="J303" s="35"/>
      <c r="K303" s="35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spans="1:34" ht="13" x14ac:dyDescent="0.15">
      <c r="A304" s="82">
        <v>46006</v>
      </c>
      <c r="B304" s="70" t="s">
        <v>48</v>
      </c>
      <c r="C304" s="70">
        <v>1</v>
      </c>
      <c r="D304" s="20" t="s">
        <v>110</v>
      </c>
      <c r="E304" s="20">
        <v>11</v>
      </c>
      <c r="F304" s="22">
        <v>4.93</v>
      </c>
      <c r="G304" s="22"/>
      <c r="H304" s="22">
        <v>0.67</v>
      </c>
      <c r="I304" s="22"/>
      <c r="J304" s="22">
        <v>4.79</v>
      </c>
      <c r="K304" s="22">
        <f>(F304-J304)*100*C304</f>
        <v>13.999999999999968</v>
      </c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</row>
    <row r="305" spans="1:34" ht="13" x14ac:dyDescent="0.15">
      <c r="A305" s="68"/>
      <c r="B305" s="68"/>
      <c r="C305" s="68"/>
      <c r="D305" s="20"/>
      <c r="E305" s="20"/>
      <c r="F305" s="22"/>
      <c r="G305" s="22"/>
      <c r="H305" s="22"/>
      <c r="I305" s="22"/>
      <c r="J305" s="22"/>
      <c r="K305" s="22">
        <f>(F305-J305)*100*C304</f>
        <v>0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</row>
    <row r="306" spans="1:34" ht="13" x14ac:dyDescent="0.15">
      <c r="A306" s="68"/>
      <c r="B306" s="68"/>
      <c r="C306" s="68"/>
      <c r="D306" s="20" t="s">
        <v>31</v>
      </c>
      <c r="E306" s="20"/>
      <c r="F306" s="22">
        <v>52.32</v>
      </c>
      <c r="G306" s="72" t="str">
        <f>IF(J306&gt;F307,"Did not breach BE ✅","breached BE")</f>
        <v>Did not breach BE ✅</v>
      </c>
      <c r="H306" s="68"/>
      <c r="I306" s="68"/>
      <c r="J306" s="52">
        <v>53.58</v>
      </c>
      <c r="K306" s="22">
        <f>(J306-F306)*100*C304</f>
        <v>125.9999999999998</v>
      </c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</row>
    <row r="307" spans="1:34" ht="13" x14ac:dyDescent="0.15">
      <c r="A307" s="19"/>
      <c r="B307" s="20"/>
      <c r="C307" s="25" t="s">
        <v>51</v>
      </c>
      <c r="D307" s="25" t="s">
        <v>32</v>
      </c>
      <c r="E307" s="19"/>
      <c r="F307" s="22">
        <f>F306-F304-F305</f>
        <v>47.39</v>
      </c>
      <c r="G307" s="23">
        <f>(F307-F306)/F306</f>
        <v>-9.4227828746177369E-2</v>
      </c>
      <c r="H307" s="20"/>
      <c r="I307" s="20"/>
      <c r="J307" s="22">
        <f>J306-J305-J304</f>
        <v>48.79</v>
      </c>
      <c r="K307" s="26">
        <f>K306+K305+K304</f>
        <v>139.99999999999977</v>
      </c>
      <c r="L307" s="22">
        <f>(J307-F307)*100*C304</f>
        <v>139.99999999999986</v>
      </c>
      <c r="M307" s="23">
        <f>K307/(F306*C304*100)</f>
        <v>2.6758409785932677E-2</v>
      </c>
      <c r="N307" s="20"/>
      <c r="O307" s="22">
        <f>K307-($N$2*2)</f>
        <v>138.67999999999978</v>
      </c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</row>
    <row r="308" spans="1:34" ht="13" x14ac:dyDescent="0.15">
      <c r="A308" s="12"/>
      <c r="B308" s="13"/>
      <c r="C308" s="13"/>
      <c r="D308" s="13"/>
      <c r="E308" s="12"/>
      <c r="F308" s="13"/>
      <c r="G308" s="13"/>
      <c r="H308" s="13"/>
      <c r="I308" s="13"/>
      <c r="J308" s="15"/>
      <c r="K308" s="16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 spans="1:34" ht="13" x14ac:dyDescent="0.15">
      <c r="A309" s="82">
        <v>46006</v>
      </c>
      <c r="B309" s="70" t="s">
        <v>48</v>
      </c>
      <c r="C309" s="70">
        <v>1</v>
      </c>
      <c r="D309" s="20" t="s">
        <v>111</v>
      </c>
      <c r="E309" s="20">
        <v>4</v>
      </c>
      <c r="F309" s="22">
        <v>0.54</v>
      </c>
      <c r="G309" s="22"/>
      <c r="H309" s="22">
        <v>0.54</v>
      </c>
      <c r="I309" s="22"/>
      <c r="J309" s="22">
        <v>5.0000000000000001E-3</v>
      </c>
      <c r="K309" s="22">
        <f>(F309-J309)*100*C309</f>
        <v>53.5</v>
      </c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</row>
    <row r="310" spans="1:34" ht="13" x14ac:dyDescent="0.15">
      <c r="A310" s="68"/>
      <c r="B310" s="68"/>
      <c r="C310" s="68"/>
      <c r="D310" s="20" t="s">
        <v>111</v>
      </c>
      <c r="E310" s="20">
        <v>7</v>
      </c>
      <c r="F310" s="22">
        <v>0.23</v>
      </c>
      <c r="G310" s="22"/>
      <c r="H310" s="22">
        <v>0.23</v>
      </c>
      <c r="I310" s="22"/>
      <c r="J310" s="22">
        <v>0.01</v>
      </c>
      <c r="K310" s="22">
        <f>(F310-J310)*100*C309</f>
        <v>22</v>
      </c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</row>
    <row r="311" spans="1:34" ht="13" x14ac:dyDescent="0.15">
      <c r="A311" s="68"/>
      <c r="B311" s="68"/>
      <c r="C311" s="68"/>
      <c r="D311" s="20" t="s">
        <v>111</v>
      </c>
      <c r="E311" s="20">
        <v>7</v>
      </c>
      <c r="F311" s="22">
        <v>0.08</v>
      </c>
      <c r="G311" s="20"/>
      <c r="H311" s="20">
        <v>0.08</v>
      </c>
      <c r="I311" s="20"/>
      <c r="J311" s="52">
        <v>0.01</v>
      </c>
      <c r="K311" s="22">
        <f>(F311-J311)*100*C309</f>
        <v>7.0000000000000009</v>
      </c>
      <c r="L311" s="20"/>
      <c r="M311" s="23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</row>
    <row r="312" spans="1:34" ht="13" x14ac:dyDescent="0.15">
      <c r="A312" s="68"/>
      <c r="B312" s="68"/>
      <c r="C312" s="68"/>
      <c r="D312" s="20" t="s">
        <v>111</v>
      </c>
      <c r="E312" s="20">
        <v>4</v>
      </c>
      <c r="F312" s="22">
        <v>0.46</v>
      </c>
      <c r="G312" s="20"/>
      <c r="H312" s="20">
        <v>0.46</v>
      </c>
      <c r="I312" s="20"/>
      <c r="J312" s="52">
        <v>0.01</v>
      </c>
      <c r="K312" s="22">
        <f>(F312-J312)*100*C309</f>
        <v>45</v>
      </c>
      <c r="L312" s="20"/>
      <c r="M312" s="24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</row>
    <row r="313" spans="1:34" ht="13" x14ac:dyDescent="0.15">
      <c r="A313" s="68"/>
      <c r="B313" s="68"/>
      <c r="C313" s="68"/>
      <c r="D313" s="20" t="s">
        <v>112</v>
      </c>
      <c r="E313" s="20"/>
      <c r="F313" s="22">
        <v>70.989999999999995</v>
      </c>
      <c r="G313" s="72" t="str">
        <f>IF(J313&gt;F314,"Did not breach BE ✅","breached BE")</f>
        <v>Did not breach BE ✅</v>
      </c>
      <c r="H313" s="68"/>
      <c r="I313" s="68"/>
      <c r="J313" s="52">
        <v>70.44</v>
      </c>
      <c r="K313" s="22">
        <f>(J313-F313)*100*C309</f>
        <v>-54.999999999999716</v>
      </c>
      <c r="L313" s="20"/>
      <c r="M313" s="24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</row>
    <row r="314" spans="1:34" ht="13" x14ac:dyDescent="0.15">
      <c r="A314" s="19"/>
      <c r="B314" s="20"/>
      <c r="C314" s="25" t="s">
        <v>51</v>
      </c>
      <c r="D314" s="25" t="s">
        <v>32</v>
      </c>
      <c r="E314" s="19"/>
      <c r="F314" s="22">
        <f>F313-SUM(F309:F312)</f>
        <v>69.679999999999993</v>
      </c>
      <c r="G314" s="23">
        <f>(F314-F313)/F313</f>
        <v>-1.8453303282152448E-2</v>
      </c>
      <c r="H314" s="20"/>
      <c r="I314" s="20"/>
      <c r="J314" s="22">
        <f>J313-SUM(J309:J312)</f>
        <v>70.405000000000001</v>
      </c>
      <c r="K314" s="26">
        <f>K313+K310+K309+K311+K312</f>
        <v>72.500000000000284</v>
      </c>
      <c r="L314" s="22">
        <f>(J314-F314)*100*C309</f>
        <v>72.500000000000853</v>
      </c>
      <c r="M314" s="23">
        <f>O314/(F313*C309*100)</f>
        <v>9.9337934920411732E-3</v>
      </c>
      <c r="N314" s="20"/>
      <c r="O314" s="22">
        <f>K314-($N$2*3)</f>
        <v>70.52000000000028</v>
      </c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</row>
    <row r="315" spans="1:34" ht="13" x14ac:dyDescent="0.15">
      <c r="A315" s="12"/>
      <c r="B315" s="13"/>
      <c r="C315" s="13"/>
      <c r="D315" s="13"/>
      <c r="E315" s="12"/>
      <c r="F315" s="13"/>
      <c r="G315" s="13"/>
      <c r="H315" s="13"/>
      <c r="I315" s="13"/>
      <c r="J315" s="15"/>
      <c r="K315" s="16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 spans="1:34" ht="13" x14ac:dyDescent="0.15">
      <c r="A316" s="61" t="s">
        <v>39</v>
      </c>
      <c r="B316" s="62"/>
      <c r="C316" s="62"/>
      <c r="D316" s="13"/>
      <c r="E316" s="13"/>
      <c r="F316" s="35"/>
      <c r="G316" s="35"/>
      <c r="H316" s="35"/>
      <c r="I316" s="35"/>
      <c r="J316" s="35"/>
      <c r="K316" s="35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spans="1:34" ht="13" x14ac:dyDescent="0.15">
      <c r="A317" s="82">
        <v>46013</v>
      </c>
      <c r="B317" s="70" t="s">
        <v>48</v>
      </c>
      <c r="C317" s="70">
        <v>3</v>
      </c>
      <c r="D317" s="20" t="s">
        <v>113</v>
      </c>
      <c r="E317" s="20">
        <v>4</v>
      </c>
      <c r="F317" s="22">
        <v>3.0467</v>
      </c>
      <c r="G317" s="22"/>
      <c r="H317" s="22">
        <v>0.86</v>
      </c>
      <c r="I317" s="22"/>
      <c r="J317" s="22">
        <v>2.35</v>
      </c>
      <c r="K317" s="22">
        <f>(F317-J317)*100*C317</f>
        <v>209.00999999999996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</row>
    <row r="318" spans="1:34" ht="13" x14ac:dyDescent="0.15">
      <c r="A318" s="68"/>
      <c r="B318" s="68"/>
      <c r="C318" s="68"/>
      <c r="D318" s="20"/>
      <c r="E318" s="20"/>
      <c r="F318" s="22"/>
      <c r="G318" s="22"/>
      <c r="H318" s="22"/>
      <c r="I318" s="22"/>
      <c r="J318" s="22"/>
      <c r="K318" s="22">
        <f>(F318-J318)*100*C317</f>
        <v>0</v>
      </c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</row>
    <row r="319" spans="1:34" ht="13" x14ac:dyDescent="0.15">
      <c r="A319" s="68"/>
      <c r="B319" s="68"/>
      <c r="C319" s="68"/>
      <c r="D319" s="20" t="s">
        <v>31</v>
      </c>
      <c r="E319" s="20"/>
      <c r="F319" s="22">
        <v>53.828699999999998</v>
      </c>
      <c r="G319" s="72" t="str">
        <f>IF(J319&gt;F320,"Did not breach BE ✅","breached BE")</f>
        <v>Did not breach BE ✅</v>
      </c>
      <c r="H319" s="68"/>
      <c r="I319" s="68"/>
      <c r="J319" s="52">
        <v>54.09</v>
      </c>
      <c r="K319" s="22">
        <f>(J319-F319)*100*C317</f>
        <v>78.390000000001692</v>
      </c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</row>
    <row r="320" spans="1:34" ht="13" x14ac:dyDescent="0.15">
      <c r="A320" s="19"/>
      <c r="B320" s="20"/>
      <c r="C320" s="25" t="s">
        <v>51</v>
      </c>
      <c r="D320" s="25" t="s">
        <v>32</v>
      </c>
      <c r="E320" s="19"/>
      <c r="F320" s="22">
        <f>F319-F317-F318</f>
        <v>50.781999999999996</v>
      </c>
      <c r="G320" s="23">
        <f>(F320-F319)/F319</f>
        <v>-5.6599917887669618E-2</v>
      </c>
      <c r="H320" s="20"/>
      <c r="I320" s="20"/>
      <c r="J320" s="22">
        <f>J319-J318-J317</f>
        <v>51.74</v>
      </c>
      <c r="K320" s="26">
        <f>K319+K318+K317</f>
        <v>287.40000000000168</v>
      </c>
      <c r="L320" s="22">
        <f>(J320-F320)*100*C317</f>
        <v>287.40000000000168</v>
      </c>
      <c r="M320" s="23">
        <f>K320/(F319*C317*100)</f>
        <v>1.7797197405844942E-2</v>
      </c>
      <c r="N320" s="20"/>
      <c r="O320" s="22">
        <f>K320-($N$2*2)</f>
        <v>286.08000000000169</v>
      </c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</row>
    <row r="321" spans="1:34" ht="13" x14ac:dyDescent="0.15">
      <c r="A321" s="12"/>
      <c r="B321" s="13"/>
      <c r="C321" s="13"/>
      <c r="D321" s="13"/>
      <c r="E321" s="12"/>
      <c r="F321" s="13"/>
      <c r="G321" s="13"/>
      <c r="H321" s="13"/>
      <c r="I321" s="13"/>
      <c r="J321" s="15"/>
      <c r="K321" s="16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 spans="1:34" ht="13" x14ac:dyDescent="0.15">
      <c r="A322" s="61"/>
      <c r="B322" s="62"/>
      <c r="C322" s="62"/>
      <c r="D322" s="13"/>
      <c r="E322" s="13"/>
      <c r="F322" s="35"/>
      <c r="G322" s="35"/>
      <c r="H322" s="35"/>
      <c r="I322" s="35"/>
      <c r="J322" s="35"/>
      <c r="K322" s="35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spans="1:34" ht="13" x14ac:dyDescent="0.15">
      <c r="A323" s="82">
        <v>46021</v>
      </c>
      <c r="B323" s="70" t="s">
        <v>48</v>
      </c>
      <c r="C323" s="70">
        <v>2</v>
      </c>
      <c r="D323" s="20" t="s">
        <v>113</v>
      </c>
      <c r="E323" s="20">
        <v>3</v>
      </c>
      <c r="F323" s="22">
        <v>2.4900000000000002</v>
      </c>
      <c r="G323" s="22"/>
      <c r="H323" s="22">
        <v>0.2</v>
      </c>
      <c r="I323" s="23">
        <f>H323/F326</f>
        <v>4.0758100672508664E-3</v>
      </c>
      <c r="J323" s="22">
        <v>2</v>
      </c>
      <c r="K323" s="22">
        <f>(F323-J323)*100*C323</f>
        <v>98.000000000000043</v>
      </c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</row>
    <row r="324" spans="1:34" ht="13" x14ac:dyDescent="0.15">
      <c r="A324" s="68"/>
      <c r="B324" s="68"/>
      <c r="C324" s="68"/>
      <c r="D324" s="20" t="s">
        <v>114</v>
      </c>
      <c r="E324" s="20">
        <v>7</v>
      </c>
      <c r="F324" s="22">
        <v>2.72</v>
      </c>
      <c r="G324" s="22"/>
      <c r="H324" s="22">
        <v>0.65</v>
      </c>
      <c r="I324" s="23">
        <f>H324/F326</f>
        <v>1.3246382718565316E-2</v>
      </c>
      <c r="J324" s="22">
        <v>3.95</v>
      </c>
      <c r="K324" s="22">
        <f>(F324-J324)*100*C323</f>
        <v>-246</v>
      </c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</row>
    <row r="325" spans="1:34" ht="13" x14ac:dyDescent="0.15">
      <c r="A325" s="68"/>
      <c r="B325" s="68"/>
      <c r="C325" s="68"/>
      <c r="D325" s="20" t="s">
        <v>31</v>
      </c>
      <c r="E325" s="20"/>
      <c r="F325" s="22">
        <v>54.28</v>
      </c>
      <c r="G325" s="72" t="str">
        <f>IF(J325&gt;F326,"Did not breach BE ✅","breached BE")</f>
        <v>Did not breach BE ✅</v>
      </c>
      <c r="H325" s="68"/>
      <c r="I325" s="68"/>
      <c r="J325" s="52">
        <f>J300</f>
        <v>55.76</v>
      </c>
      <c r="K325" s="22">
        <f>(J325-F325)*100*C323</f>
        <v>295.99999999999937</v>
      </c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</row>
    <row r="326" spans="1:34" ht="13" x14ac:dyDescent="0.15">
      <c r="A326" s="19"/>
      <c r="B326" s="20"/>
      <c r="C326" s="25" t="s">
        <v>51</v>
      </c>
      <c r="D326" s="25" t="s">
        <v>32</v>
      </c>
      <c r="E326" s="19"/>
      <c r="F326" s="22">
        <f>F325-F323-F324</f>
        <v>49.07</v>
      </c>
      <c r="G326" s="23">
        <f>(F326-F325)/F325</f>
        <v>-9.5983787767133399E-2</v>
      </c>
      <c r="H326" s="20"/>
      <c r="I326" s="20"/>
      <c r="J326" s="22">
        <f>J325-J324-J323</f>
        <v>49.809999999999995</v>
      </c>
      <c r="K326" s="26">
        <f>K325+K324+K323</f>
        <v>147.99999999999943</v>
      </c>
      <c r="L326" s="22">
        <f>(J326-F326)*100*C323</f>
        <v>147.99999999999898</v>
      </c>
      <c r="M326" s="23">
        <f>O326/(F325*C323*100)</f>
        <v>1.3389830508474525E-2</v>
      </c>
      <c r="N326" s="20"/>
      <c r="O326" s="22">
        <f>K326-($N$2*4)</f>
        <v>145.35999999999945</v>
      </c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</row>
    <row r="327" spans="1:34" ht="13" x14ac:dyDescent="0.15">
      <c r="A327" s="12"/>
      <c r="B327" s="13"/>
      <c r="C327" s="13"/>
      <c r="D327" s="13"/>
      <c r="E327" s="12"/>
      <c r="F327" s="13"/>
      <c r="G327" s="13"/>
      <c r="H327" s="13"/>
      <c r="I327" s="13"/>
      <c r="J327" s="15"/>
      <c r="K327" s="16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 spans="1:34" ht="13" x14ac:dyDescent="0.15">
      <c r="A328" s="82">
        <v>46022</v>
      </c>
      <c r="B328" s="70" t="s">
        <v>48</v>
      </c>
      <c r="C328" s="70">
        <v>3</v>
      </c>
      <c r="D328" s="20" t="s">
        <v>115</v>
      </c>
      <c r="E328" s="20">
        <v>10</v>
      </c>
      <c r="F328" s="22">
        <v>4.75</v>
      </c>
      <c r="G328" s="22"/>
      <c r="H328" s="22">
        <v>0.2</v>
      </c>
      <c r="I328" s="23">
        <f>H328/F331</f>
        <v>4.0404040404040404E-3</v>
      </c>
      <c r="J328" s="22">
        <v>5.94</v>
      </c>
      <c r="K328" s="22">
        <f>(F328-J328)*100*C328</f>
        <v>-357.00000000000011</v>
      </c>
      <c r="L328" s="20"/>
      <c r="M328" s="23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</row>
    <row r="329" spans="1:34" ht="13" x14ac:dyDescent="0.15">
      <c r="A329" s="68"/>
      <c r="B329" s="68"/>
      <c r="C329" s="68"/>
      <c r="D329" s="20"/>
      <c r="E329" s="20"/>
      <c r="F329" s="22"/>
      <c r="G329" s="22"/>
      <c r="H329" s="22"/>
      <c r="I329" s="22"/>
      <c r="J329" s="22"/>
      <c r="K329" s="22">
        <f>(F329-J329)*100*C328</f>
        <v>0</v>
      </c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</row>
    <row r="330" spans="1:34" ht="13" x14ac:dyDescent="0.15">
      <c r="A330" s="68"/>
      <c r="B330" s="68"/>
      <c r="C330" s="68"/>
      <c r="D330" s="20" t="s">
        <v>31</v>
      </c>
      <c r="E330" s="20"/>
      <c r="F330" s="22">
        <v>54.25</v>
      </c>
      <c r="G330" s="72" t="str">
        <f>IF(J330&gt;F331,"Did not breach BE ✅","breached BE")</f>
        <v>Did not breach BE ✅</v>
      </c>
      <c r="H330" s="68"/>
      <c r="I330" s="68"/>
      <c r="J330" s="52">
        <f>J325</f>
        <v>55.76</v>
      </c>
      <c r="K330" s="22">
        <f>(J330-F330)*100*C328</f>
        <v>452.99999999999943</v>
      </c>
      <c r="L330" s="20"/>
      <c r="M330" s="20"/>
      <c r="N330" s="20"/>
      <c r="O330" s="20"/>
      <c r="P330" s="20"/>
      <c r="Q330" s="27">
        <v>45992</v>
      </c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</row>
    <row r="331" spans="1:34" ht="13" x14ac:dyDescent="0.15">
      <c r="A331" s="19"/>
      <c r="B331" s="20"/>
      <c r="C331" s="25" t="s">
        <v>51</v>
      </c>
      <c r="D331" s="25" t="s">
        <v>32</v>
      </c>
      <c r="E331" s="19"/>
      <c r="F331" s="22">
        <f>F330-F328-F329</f>
        <v>49.5</v>
      </c>
      <c r="G331" s="23">
        <f>(F331-F330)/F330</f>
        <v>-8.755760368663594E-2</v>
      </c>
      <c r="H331" s="20"/>
      <c r="I331" s="20"/>
      <c r="J331" s="22">
        <f>J330-J329-J328</f>
        <v>49.82</v>
      </c>
      <c r="K331" s="26">
        <f>K330+K329+K328</f>
        <v>95.999999999999318</v>
      </c>
      <c r="L331" s="22">
        <f>(J331-F331)*100*C328</f>
        <v>96.000000000000085</v>
      </c>
      <c r="M331" s="23">
        <f>O331/(F330*C328*100)</f>
        <v>5.8175115207372858E-3</v>
      </c>
      <c r="N331" s="20"/>
      <c r="O331" s="22">
        <f>K331-($N$2*2)</f>
        <v>94.679999999999325</v>
      </c>
      <c r="P331" s="20"/>
      <c r="Q331" s="22">
        <f>SUM(O282:O331)</f>
        <v>1508.2600000000007</v>
      </c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</row>
    <row r="332" spans="1:34" ht="13" x14ac:dyDescent="0.15">
      <c r="A332" s="63"/>
      <c r="B332" s="64"/>
      <c r="C332" s="64"/>
      <c r="D332" s="64"/>
      <c r="E332" s="63"/>
      <c r="F332" s="64"/>
      <c r="G332" s="64"/>
      <c r="H332" s="64"/>
      <c r="I332" s="64"/>
      <c r="J332" s="65"/>
      <c r="K332" s="65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</row>
    <row r="333" spans="1:34" ht="13" x14ac:dyDescent="0.15">
      <c r="A333" s="61" t="s">
        <v>39</v>
      </c>
      <c r="B333" s="62"/>
      <c r="C333" s="62"/>
      <c r="D333" s="13"/>
      <c r="E333" s="13"/>
      <c r="F333" s="35"/>
      <c r="G333" s="35"/>
      <c r="H333" s="35"/>
      <c r="I333" s="35"/>
      <c r="J333" s="35"/>
      <c r="K333" s="35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spans="1:34" ht="13" x14ac:dyDescent="0.15">
      <c r="A334" s="82">
        <v>46027</v>
      </c>
      <c r="B334" s="70" t="s">
        <v>48</v>
      </c>
      <c r="C334" s="70">
        <v>1</v>
      </c>
      <c r="D334" s="20" t="s">
        <v>116</v>
      </c>
      <c r="E334" s="20">
        <v>4</v>
      </c>
      <c r="F334" s="22">
        <v>4.32</v>
      </c>
      <c r="G334" s="22"/>
      <c r="H334" s="22">
        <v>0.31</v>
      </c>
      <c r="I334" s="23">
        <f>H334/F337</f>
        <v>6.238679814852083E-3</v>
      </c>
      <c r="J334" s="22">
        <f>J328</f>
        <v>5.94</v>
      </c>
      <c r="K334" s="22">
        <f>(F334-J334)*100*C334</f>
        <v>-162</v>
      </c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</row>
    <row r="335" spans="1:34" ht="13" x14ac:dyDescent="0.15">
      <c r="A335" s="68"/>
      <c r="B335" s="68"/>
      <c r="C335" s="68"/>
      <c r="D335" s="20"/>
      <c r="E335" s="20"/>
      <c r="F335" s="22"/>
      <c r="G335" s="22"/>
      <c r="H335" s="22"/>
      <c r="I335" s="22"/>
      <c r="J335" s="22"/>
      <c r="K335" s="22">
        <f>(F335-J335)*100*C334</f>
        <v>0</v>
      </c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</row>
    <row r="336" spans="1:34" ht="13" x14ac:dyDescent="0.15">
      <c r="A336" s="68"/>
      <c r="B336" s="68"/>
      <c r="C336" s="68"/>
      <c r="D336" s="20" t="s">
        <v>31</v>
      </c>
      <c r="E336" s="20"/>
      <c r="F336" s="22">
        <v>54.01</v>
      </c>
      <c r="G336" s="72" t="str">
        <f>IF(J336&gt;F337,"Did not breach BE ✅","breached BE")</f>
        <v>Did not breach BE ✅</v>
      </c>
      <c r="H336" s="68"/>
      <c r="I336" s="68"/>
      <c r="J336" s="52">
        <f>J330</f>
        <v>55.76</v>
      </c>
      <c r="K336" s="22">
        <f>(J336-F336)*100*C334</f>
        <v>175</v>
      </c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</row>
    <row r="337" spans="1:34" ht="13" x14ac:dyDescent="0.15">
      <c r="A337" s="19"/>
      <c r="B337" s="20"/>
      <c r="C337" s="25" t="s">
        <v>51</v>
      </c>
      <c r="D337" s="25" t="s">
        <v>32</v>
      </c>
      <c r="E337" s="19"/>
      <c r="F337" s="22">
        <f>F336-F334-F335</f>
        <v>49.69</v>
      </c>
      <c r="G337" s="23">
        <f>(F337-F336)/F336</f>
        <v>-7.9985187928161464E-2</v>
      </c>
      <c r="H337" s="20"/>
      <c r="I337" s="20"/>
      <c r="J337" s="22">
        <f>J336-J335-J334</f>
        <v>49.82</v>
      </c>
      <c r="K337" s="26">
        <f>K336+K335+K334</f>
        <v>13</v>
      </c>
      <c r="L337" s="22">
        <f>(J337-F337)*100*C334</f>
        <v>13.000000000000256</v>
      </c>
      <c r="M337" s="23">
        <f>O337/(F336*C334*100)</f>
        <v>2.1625624884280686E-3</v>
      </c>
      <c r="N337" s="20"/>
      <c r="O337" s="22">
        <f>K337-($N$2*2)</f>
        <v>11.68</v>
      </c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</row>
    <row r="338" spans="1:34" ht="13" x14ac:dyDescent="0.15">
      <c r="A338" s="2" t="s">
        <v>39</v>
      </c>
      <c r="B338" s="13"/>
      <c r="C338" s="13"/>
      <c r="D338" s="13"/>
      <c r="E338" s="12"/>
      <c r="F338" s="13"/>
      <c r="G338" s="13"/>
      <c r="H338" s="13"/>
      <c r="I338" s="13"/>
      <c r="J338" s="15"/>
      <c r="K338" s="16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 spans="1:34" ht="13" x14ac:dyDescent="0.15">
      <c r="A339" s="82">
        <v>46036</v>
      </c>
      <c r="B339" s="70" t="s">
        <v>48</v>
      </c>
      <c r="C339" s="70">
        <v>3</v>
      </c>
      <c r="D339" s="20" t="s">
        <v>117</v>
      </c>
      <c r="E339" s="20">
        <v>16</v>
      </c>
      <c r="F339" s="22">
        <v>6.6</v>
      </c>
      <c r="G339" s="22"/>
      <c r="H339" s="22">
        <v>0.9</v>
      </c>
      <c r="I339" s="23">
        <f>H339/F342</f>
        <v>1.8730489073881376E-2</v>
      </c>
      <c r="J339" s="22">
        <v>5.08</v>
      </c>
      <c r="K339" s="22">
        <f>(F339-J339)*100*C339</f>
        <v>455.99999999999983</v>
      </c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</row>
    <row r="340" spans="1:34" ht="13" x14ac:dyDescent="0.15">
      <c r="A340" s="68"/>
      <c r="B340" s="68"/>
      <c r="C340" s="68"/>
      <c r="D340" s="20"/>
      <c r="E340" s="20"/>
      <c r="F340" s="22"/>
      <c r="G340" s="22"/>
      <c r="H340" s="22"/>
      <c r="I340" s="22"/>
      <c r="J340" s="22"/>
      <c r="K340" s="22">
        <f>(F340-J340)*100*C339</f>
        <v>0</v>
      </c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</row>
    <row r="341" spans="1:34" ht="13" x14ac:dyDescent="0.15">
      <c r="A341" s="68"/>
      <c r="B341" s="68"/>
      <c r="C341" s="68"/>
      <c r="D341" s="20" t="s">
        <v>31</v>
      </c>
      <c r="E341" s="20"/>
      <c r="F341" s="22">
        <v>54.65</v>
      </c>
      <c r="G341" s="72" t="str">
        <f>IF(J341&gt;F342,"Did not breach BE ✅","breached BE")</f>
        <v>Did not breach BE ✅</v>
      </c>
      <c r="H341" s="68"/>
      <c r="I341" s="68"/>
      <c r="J341" s="52">
        <v>54</v>
      </c>
      <c r="K341" s="22">
        <f>(J341-F341)*100*C339</f>
        <v>-194.99999999999957</v>
      </c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</row>
    <row r="342" spans="1:34" ht="13" x14ac:dyDescent="0.15">
      <c r="A342" s="19"/>
      <c r="B342" s="20"/>
      <c r="C342" s="25" t="s">
        <v>51</v>
      </c>
      <c r="D342" s="25" t="s">
        <v>32</v>
      </c>
      <c r="E342" s="19"/>
      <c r="F342" s="22">
        <f>F341-F339-F340</f>
        <v>48.05</v>
      </c>
      <c r="G342" s="23">
        <f>(F342-F341)/F341</f>
        <v>-0.12076852698993598</v>
      </c>
      <c r="H342" s="20"/>
      <c r="I342" s="20"/>
      <c r="J342" s="22">
        <f>J341-J340-J339</f>
        <v>48.92</v>
      </c>
      <c r="K342" s="26">
        <f>K341+K340+K339</f>
        <v>261.00000000000023</v>
      </c>
      <c r="L342" s="22">
        <f>(J342-F342)*100*C339</f>
        <v>261.00000000000136</v>
      </c>
      <c r="M342" s="23">
        <f>O342/(F341*C339*100)</f>
        <v>1.5838975297346767E-2</v>
      </c>
      <c r="N342" s="20"/>
      <c r="O342" s="22">
        <f>K342-($N$2*2)</f>
        <v>259.68000000000023</v>
      </c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</row>
    <row r="343" spans="1:34" ht="13" x14ac:dyDescent="0.15">
      <c r="A343" s="12"/>
      <c r="B343" s="13"/>
      <c r="C343" s="13"/>
      <c r="D343" s="13"/>
      <c r="E343" s="12"/>
      <c r="F343" s="13"/>
      <c r="G343" s="13"/>
      <c r="H343" s="13"/>
      <c r="I343" s="13"/>
      <c r="J343" s="15"/>
      <c r="K343" s="16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 spans="1:34" ht="13" x14ac:dyDescent="0.15">
      <c r="A344" s="82">
        <v>46036</v>
      </c>
      <c r="B344" s="70" t="s">
        <v>48</v>
      </c>
      <c r="C344" s="70">
        <v>1</v>
      </c>
      <c r="D344" s="20" t="s">
        <v>117</v>
      </c>
      <c r="E344" s="20">
        <v>9</v>
      </c>
      <c r="F344" s="22">
        <v>5.94</v>
      </c>
      <c r="G344" s="22"/>
      <c r="H344" s="22">
        <v>0.63</v>
      </c>
      <c r="I344" s="23">
        <f>H344/F347</f>
        <v>1.3019218846869188E-2</v>
      </c>
      <c r="J344" s="22">
        <v>4.55</v>
      </c>
      <c r="K344" s="22">
        <f>(F344-J344)*100*C344</f>
        <v>139.00000000000006</v>
      </c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</row>
    <row r="345" spans="1:34" ht="13" x14ac:dyDescent="0.15">
      <c r="A345" s="68"/>
      <c r="B345" s="68"/>
      <c r="C345" s="68"/>
      <c r="D345" s="20"/>
      <c r="E345" s="20"/>
      <c r="F345" s="22"/>
      <c r="G345" s="22"/>
      <c r="H345" s="22"/>
      <c r="I345" s="22"/>
      <c r="J345" s="22"/>
      <c r="K345" s="22">
        <f>(F345-J345)*100*C344</f>
        <v>0</v>
      </c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</row>
    <row r="346" spans="1:34" ht="13" x14ac:dyDescent="0.15">
      <c r="A346" s="68"/>
      <c r="B346" s="68"/>
      <c r="C346" s="68"/>
      <c r="D346" s="20" t="s">
        <v>31</v>
      </c>
      <c r="E346" s="20"/>
      <c r="F346" s="22">
        <v>54.33</v>
      </c>
      <c r="G346" s="72" t="str">
        <f>IF(J346&gt;F347,"Did not breach BE ✅","breached BE")</f>
        <v>Did not breach BE ✅</v>
      </c>
      <c r="H346" s="68"/>
      <c r="I346" s="68"/>
      <c r="J346" s="52">
        <v>53.39</v>
      </c>
      <c r="K346" s="22">
        <f>(J346-F346)*100*C344</f>
        <v>-93.999999999999773</v>
      </c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</row>
    <row r="347" spans="1:34" ht="13" x14ac:dyDescent="0.15">
      <c r="A347" s="19"/>
      <c r="B347" s="20"/>
      <c r="C347" s="25" t="s">
        <v>51</v>
      </c>
      <c r="D347" s="25" t="s">
        <v>32</v>
      </c>
      <c r="E347" s="19"/>
      <c r="F347" s="22">
        <f>F346-F344-F345</f>
        <v>48.39</v>
      </c>
      <c r="G347" s="23">
        <f>(F347-F346)/F346</f>
        <v>-0.10933186085035888</v>
      </c>
      <c r="H347" s="20"/>
      <c r="I347" s="20"/>
      <c r="J347" s="22">
        <f>J346-J345-J344</f>
        <v>48.84</v>
      </c>
      <c r="K347" s="26">
        <f>K346+K345+K344</f>
        <v>45.000000000000284</v>
      </c>
      <c r="L347" s="22">
        <f>(J347-F347)*100*C344</f>
        <v>45.000000000000284</v>
      </c>
      <c r="M347" s="23">
        <f>O347/(F346*C344*100)</f>
        <v>8.0397570403092731E-3</v>
      </c>
      <c r="N347" s="20"/>
      <c r="O347" s="22">
        <f>K347-($N$2*2)</f>
        <v>43.680000000000284</v>
      </c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</row>
    <row r="348" spans="1:34" ht="13" x14ac:dyDescent="0.15">
      <c r="A348" s="12"/>
      <c r="B348" s="13"/>
      <c r="C348" s="13"/>
      <c r="D348" s="13"/>
      <c r="E348" s="12"/>
      <c r="F348" s="13"/>
      <c r="G348" s="13"/>
      <c r="H348" s="13"/>
      <c r="I348" s="13"/>
      <c r="J348" s="15"/>
      <c r="K348" s="16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 spans="1:34" ht="13" x14ac:dyDescent="0.15">
      <c r="A349" s="82">
        <v>46036</v>
      </c>
      <c r="B349" s="70" t="s">
        <v>48</v>
      </c>
      <c r="C349" s="70">
        <v>1</v>
      </c>
      <c r="D349" s="20" t="s">
        <v>118</v>
      </c>
      <c r="E349" s="20">
        <v>9</v>
      </c>
      <c r="F349" s="22">
        <v>5.94</v>
      </c>
      <c r="G349" s="22"/>
      <c r="H349" s="22">
        <v>0.43</v>
      </c>
      <c r="I349" s="23">
        <f>H349/F352</f>
        <v>9.0621707060063224E-3</v>
      </c>
      <c r="J349" s="22">
        <v>6.5</v>
      </c>
      <c r="K349" s="22">
        <f>(F349-J349)*100*C349</f>
        <v>-55.999999999999957</v>
      </c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</row>
    <row r="350" spans="1:34" ht="13" x14ac:dyDescent="0.15">
      <c r="A350" s="68"/>
      <c r="B350" s="68"/>
      <c r="C350" s="68"/>
      <c r="D350" s="20"/>
      <c r="E350" s="20"/>
      <c r="F350" s="22"/>
      <c r="G350" s="22"/>
      <c r="H350" s="22"/>
      <c r="I350" s="22"/>
      <c r="J350" s="22"/>
      <c r="K350" s="22">
        <f>(F350-J350)*100*C349</f>
        <v>0</v>
      </c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</row>
    <row r="351" spans="1:34" ht="13" x14ac:dyDescent="0.15">
      <c r="A351" s="68"/>
      <c r="B351" s="68"/>
      <c r="C351" s="68"/>
      <c r="D351" s="20" t="s">
        <v>31</v>
      </c>
      <c r="E351" s="20"/>
      <c r="F351" s="22">
        <v>53.39</v>
      </c>
      <c r="G351" s="72" t="str">
        <f>IF(J351&gt;F352,"Did not breach BE ✅","breached BE")</f>
        <v>Did not breach BE ✅</v>
      </c>
      <c r="H351" s="68"/>
      <c r="I351" s="68"/>
      <c r="J351" s="52">
        <v>54.38</v>
      </c>
      <c r="K351" s="22">
        <f>(J351-F351)*100*C349</f>
        <v>99.000000000000199</v>
      </c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</row>
    <row r="352" spans="1:34" ht="13" x14ac:dyDescent="0.15">
      <c r="A352" s="19"/>
      <c r="B352" s="20"/>
      <c r="C352" s="25" t="s">
        <v>51</v>
      </c>
      <c r="D352" s="25" t="s">
        <v>32</v>
      </c>
      <c r="E352" s="19"/>
      <c r="F352" s="22">
        <f>F351-F349-F350</f>
        <v>47.45</v>
      </c>
      <c r="G352" s="23">
        <f>(F352-F351)/F351</f>
        <v>-0.11125678966098516</v>
      </c>
      <c r="H352" s="20"/>
      <c r="I352" s="20"/>
      <c r="J352" s="22">
        <f>J351-J350-J349</f>
        <v>47.88</v>
      </c>
      <c r="K352" s="26">
        <f>K351+K350+K349</f>
        <v>43.000000000000242</v>
      </c>
      <c r="L352" s="22">
        <f>(J352-F352)*100*C349</f>
        <v>42.999999999999972</v>
      </c>
      <c r="M352" s="23">
        <f>O352/(F351*C349*100)</f>
        <v>7.8067053755385358E-3</v>
      </c>
      <c r="N352" s="20"/>
      <c r="O352" s="22">
        <f>K352-($N$2*2)</f>
        <v>41.680000000000241</v>
      </c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</row>
    <row r="353" spans="1:34" ht="13" x14ac:dyDescent="0.15">
      <c r="A353" s="12"/>
      <c r="B353" s="13"/>
      <c r="C353" s="13"/>
      <c r="D353" s="13"/>
      <c r="E353" s="12"/>
      <c r="F353" s="13"/>
      <c r="G353" s="13"/>
      <c r="H353" s="13"/>
      <c r="I353" s="13"/>
      <c r="J353" s="15"/>
      <c r="K353" s="16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 spans="1:34" ht="13" x14ac:dyDescent="0.15">
      <c r="A354" s="2" t="s">
        <v>39</v>
      </c>
      <c r="B354" s="13"/>
      <c r="C354" s="13"/>
      <c r="D354" s="13"/>
      <c r="E354" s="12"/>
      <c r="F354" s="13"/>
      <c r="G354" s="13"/>
      <c r="H354" s="13"/>
      <c r="I354" s="13"/>
      <c r="J354" s="15"/>
      <c r="K354" s="16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 spans="1:34" ht="13" x14ac:dyDescent="0.15">
      <c r="A355" s="82">
        <v>46042</v>
      </c>
      <c r="B355" s="70" t="s">
        <v>48</v>
      </c>
      <c r="C355" s="70">
        <v>1</v>
      </c>
      <c r="D355" s="20" t="s">
        <v>111</v>
      </c>
      <c r="E355" s="20">
        <v>3</v>
      </c>
      <c r="F355" s="22">
        <v>0.24</v>
      </c>
      <c r="G355" s="22"/>
      <c r="H355" s="22">
        <v>0.43</v>
      </c>
      <c r="I355" s="23">
        <f>H355/F358</f>
        <v>6.1428571428571426E-3</v>
      </c>
      <c r="J355" s="22">
        <v>1.89</v>
      </c>
      <c r="K355" s="22">
        <f>(F355-J355)*100*C355</f>
        <v>-165</v>
      </c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</row>
    <row r="356" spans="1:34" ht="13" x14ac:dyDescent="0.15">
      <c r="A356" s="68"/>
      <c r="B356" s="68"/>
      <c r="C356" s="68"/>
      <c r="D356" s="20"/>
      <c r="E356" s="20"/>
      <c r="F356" s="22"/>
      <c r="G356" s="22"/>
      <c r="H356" s="22"/>
      <c r="I356" s="22"/>
      <c r="J356" s="22"/>
      <c r="K356" s="22">
        <f>(F356-J356)*100*C355</f>
        <v>0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</row>
    <row r="357" spans="1:34" ht="13" x14ac:dyDescent="0.15">
      <c r="A357" s="68"/>
      <c r="B357" s="68"/>
      <c r="C357" s="68"/>
      <c r="D357" s="20" t="s">
        <v>119</v>
      </c>
      <c r="E357" s="20"/>
      <c r="F357" s="22">
        <v>70.239999999999995</v>
      </c>
      <c r="G357" s="72" t="str">
        <f>IF(J357&gt;F358,"Did not breach BE ✅","breached BE")</f>
        <v>Did not breach BE ✅</v>
      </c>
      <c r="H357" s="68"/>
      <c r="I357" s="68"/>
      <c r="J357" s="52">
        <v>72.790000000000006</v>
      </c>
      <c r="K357" s="22">
        <f>(J357-F357)*100*C355</f>
        <v>255.00000000000114</v>
      </c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</row>
    <row r="358" spans="1:34" ht="13" x14ac:dyDescent="0.15">
      <c r="A358" s="19"/>
      <c r="B358" s="20"/>
      <c r="C358" s="25" t="s">
        <v>51</v>
      </c>
      <c r="D358" s="25" t="s">
        <v>32</v>
      </c>
      <c r="E358" s="19"/>
      <c r="F358" s="22">
        <f>F357-F355-F356</f>
        <v>70</v>
      </c>
      <c r="G358" s="23">
        <f>(F358-F357)/F357</f>
        <v>-3.4168564920272625E-3</v>
      </c>
      <c r="H358" s="20"/>
      <c r="I358" s="20"/>
      <c r="J358" s="22">
        <f>J357-J356-J355</f>
        <v>70.900000000000006</v>
      </c>
      <c r="K358" s="26">
        <f>K357+K356+K355</f>
        <v>90.000000000001137</v>
      </c>
      <c r="L358" s="22">
        <f>(J358-F358)*100*C355</f>
        <v>90.000000000000568</v>
      </c>
      <c r="M358" s="23">
        <f>O358/(F357*C355*100)</f>
        <v>1.2625284738041167E-2</v>
      </c>
      <c r="N358" s="20"/>
      <c r="O358" s="22">
        <f>K358-($N$2*2)</f>
        <v>88.680000000001144</v>
      </c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</row>
    <row r="359" spans="1:34" ht="13" x14ac:dyDescent="0.15">
      <c r="A359" s="12"/>
      <c r="B359" s="13"/>
      <c r="C359" s="13"/>
      <c r="D359" s="13"/>
      <c r="E359" s="12"/>
      <c r="F359" s="13"/>
      <c r="G359" s="13"/>
      <c r="H359" s="13"/>
      <c r="I359" s="13"/>
      <c r="J359" s="15"/>
      <c r="K359" s="16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 spans="1:34" ht="13" x14ac:dyDescent="0.15">
      <c r="A360" s="82">
        <v>46042</v>
      </c>
      <c r="B360" s="70" t="s">
        <v>48</v>
      </c>
      <c r="C360" s="70">
        <v>1</v>
      </c>
      <c r="D360" s="20" t="s">
        <v>118</v>
      </c>
      <c r="E360" s="20">
        <v>3</v>
      </c>
      <c r="F360" s="22">
        <v>4.2300000000000004</v>
      </c>
      <c r="G360" s="22"/>
      <c r="H360" s="22">
        <v>0.37</v>
      </c>
      <c r="I360" s="23">
        <f>H360/F363</f>
        <v>7.77310924369748E-3</v>
      </c>
      <c r="J360" s="22">
        <f>J349</f>
        <v>6.5</v>
      </c>
      <c r="K360" s="22">
        <f>(F360-J360)*100*C360</f>
        <v>-226.99999999999994</v>
      </c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</row>
    <row r="361" spans="1:34" ht="13" x14ac:dyDescent="0.15">
      <c r="A361" s="68"/>
      <c r="B361" s="68"/>
      <c r="C361" s="68"/>
      <c r="D361" s="20"/>
      <c r="E361" s="20"/>
      <c r="F361" s="22"/>
      <c r="G361" s="22"/>
      <c r="H361" s="22"/>
      <c r="I361" s="22"/>
      <c r="J361" s="22"/>
      <c r="K361" s="22">
        <f>(F361-J361)*100*C360</f>
        <v>0</v>
      </c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</row>
    <row r="362" spans="1:34" ht="13" x14ac:dyDescent="0.15">
      <c r="A362" s="68"/>
      <c r="B362" s="68"/>
      <c r="C362" s="68"/>
      <c r="D362" s="20" t="s">
        <v>31</v>
      </c>
      <c r="E362" s="20"/>
      <c r="F362" s="22">
        <v>51.83</v>
      </c>
      <c r="G362" s="72" t="str">
        <f>IF(J362&gt;F363,"Did not breach BE ✅","breached BE")</f>
        <v>Did not breach BE ✅</v>
      </c>
      <c r="H362" s="68"/>
      <c r="I362" s="68"/>
      <c r="J362" s="52">
        <f>J351</f>
        <v>54.38</v>
      </c>
      <c r="K362" s="22">
        <f>(J362-F362)*100*C360</f>
        <v>255.00000000000043</v>
      </c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</row>
    <row r="363" spans="1:34" ht="13" x14ac:dyDescent="0.15">
      <c r="A363" s="19"/>
      <c r="B363" s="20"/>
      <c r="C363" s="25" t="s">
        <v>51</v>
      </c>
      <c r="D363" s="25" t="s">
        <v>32</v>
      </c>
      <c r="E363" s="19"/>
      <c r="F363" s="22">
        <f>F362-F360-F361</f>
        <v>47.599999999999994</v>
      </c>
      <c r="G363" s="23">
        <f>(F363-F362)/F362</f>
        <v>-8.1612965464017057E-2</v>
      </c>
      <c r="H363" s="20"/>
      <c r="I363" s="20"/>
      <c r="J363" s="22">
        <f>J362-J361-J360</f>
        <v>47.88</v>
      </c>
      <c r="K363" s="26">
        <f>K362+K361+K360</f>
        <v>28.000000000000483</v>
      </c>
      <c r="L363" s="22">
        <f>(J363-F363)*100*C360</f>
        <v>28.000000000000824</v>
      </c>
      <c r="M363" s="23">
        <f>O363/(F362*C360*100)</f>
        <v>5.1475979162648048E-3</v>
      </c>
      <c r="N363" s="20"/>
      <c r="O363" s="22">
        <f>K363-($N$2*2)</f>
        <v>26.680000000000483</v>
      </c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</row>
    <row r="364" spans="1:34" ht="13" x14ac:dyDescent="0.15">
      <c r="A364" s="12"/>
      <c r="B364" s="13"/>
      <c r="C364" s="13"/>
      <c r="D364" s="13"/>
      <c r="E364" s="12"/>
      <c r="F364" s="13"/>
      <c r="G364" s="13"/>
      <c r="H364" s="13"/>
      <c r="I364" s="13"/>
      <c r="J364" s="15"/>
      <c r="K364" s="16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 spans="1:34" ht="13" x14ac:dyDescent="0.15">
      <c r="A365" s="2" t="s">
        <v>39</v>
      </c>
      <c r="B365" s="13"/>
      <c r="C365" s="13"/>
      <c r="D365" s="13"/>
      <c r="E365" s="12"/>
      <c r="F365" s="13"/>
      <c r="G365" s="13"/>
      <c r="H365" s="13"/>
      <c r="I365" s="13"/>
      <c r="J365" s="15"/>
      <c r="K365" s="16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 spans="1:34" ht="13" x14ac:dyDescent="0.15">
      <c r="A366" s="82">
        <v>46051</v>
      </c>
      <c r="B366" s="70" t="s">
        <v>48</v>
      </c>
      <c r="C366" s="70">
        <v>3</v>
      </c>
      <c r="D366" s="20" t="s">
        <v>118</v>
      </c>
      <c r="E366" s="20">
        <v>8</v>
      </c>
      <c r="F366" s="22">
        <v>7.22</v>
      </c>
      <c r="G366" s="22"/>
      <c r="H366" s="22">
        <v>0.55000000000000004</v>
      </c>
      <c r="I366" s="23">
        <f>H366/F369</f>
        <v>1.1591148577449948E-2</v>
      </c>
      <c r="J366" s="22">
        <v>1.48</v>
      </c>
      <c r="K366" s="22">
        <f>(F366-J366)*100*C366</f>
        <v>1722</v>
      </c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</row>
    <row r="367" spans="1:34" ht="13" x14ac:dyDescent="0.15">
      <c r="A367" s="68"/>
      <c r="B367" s="68"/>
      <c r="C367" s="68"/>
      <c r="D367" s="20"/>
      <c r="E367" s="20"/>
      <c r="F367" s="22"/>
      <c r="G367" s="22"/>
      <c r="H367" s="22"/>
      <c r="I367" s="22"/>
      <c r="J367" s="22"/>
      <c r="K367" s="22">
        <f>(F367-J367)*100*C366</f>
        <v>0</v>
      </c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</row>
    <row r="368" spans="1:34" ht="13" x14ac:dyDescent="0.15">
      <c r="A368" s="68"/>
      <c r="B368" s="68"/>
      <c r="C368" s="68"/>
      <c r="D368" s="20" t="s">
        <v>31</v>
      </c>
      <c r="E368" s="20"/>
      <c r="F368" s="22">
        <v>54.67</v>
      </c>
      <c r="G368" s="72" t="str">
        <f>IF(J368&gt;F369,"Did not breach BE ✅","breached BE")</f>
        <v>Did not breach BE ✅</v>
      </c>
      <c r="H368" s="68"/>
      <c r="I368" s="68"/>
      <c r="J368" s="52">
        <v>49.24</v>
      </c>
      <c r="K368" s="22">
        <f>(J368-F368)*100*C366</f>
        <v>-1629</v>
      </c>
      <c r="L368" s="20"/>
      <c r="M368" s="20"/>
      <c r="N368" s="20"/>
      <c r="O368" s="20"/>
      <c r="P368" s="20"/>
      <c r="Q368" s="27">
        <v>46023</v>
      </c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</row>
    <row r="369" spans="1:34" ht="13" x14ac:dyDescent="0.15">
      <c r="A369" s="19"/>
      <c r="B369" s="20"/>
      <c r="C369" s="25" t="s">
        <v>51</v>
      </c>
      <c r="D369" s="25" t="s">
        <v>32</v>
      </c>
      <c r="E369" s="19"/>
      <c r="F369" s="22">
        <f>F368-F366-F367</f>
        <v>47.45</v>
      </c>
      <c r="G369" s="23">
        <f>(F369-F368)/F368</f>
        <v>-0.13206511798061091</v>
      </c>
      <c r="H369" s="20"/>
      <c r="I369" s="20"/>
      <c r="J369" s="22">
        <f>J368-J367-J366</f>
        <v>47.760000000000005</v>
      </c>
      <c r="K369" s="26">
        <f>K368+K367+K366</f>
        <v>93</v>
      </c>
      <c r="L369" s="22">
        <f>(J369-F369)*100*C366</f>
        <v>93.000000000000682</v>
      </c>
      <c r="M369" s="23">
        <f>O369/(F368*C366*100)</f>
        <v>5.5899030546917878E-3</v>
      </c>
      <c r="N369" s="20"/>
      <c r="O369" s="22">
        <f>K369-($N$2*2)</f>
        <v>91.68</v>
      </c>
      <c r="P369" s="20"/>
      <c r="Q369" s="22">
        <f>SUM(O336:O369)</f>
        <v>563.76000000000238</v>
      </c>
      <c r="R369" s="23">
        <f>Q369/$B$1</f>
        <v>1.6107428571428641E-2</v>
      </c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</row>
    <row r="370" spans="1:34" ht="13" x14ac:dyDescent="0.15">
      <c r="A370" s="12"/>
      <c r="B370" s="13"/>
      <c r="C370" s="13"/>
      <c r="D370" s="13"/>
      <c r="E370" s="12"/>
      <c r="F370" s="13"/>
      <c r="G370" s="13"/>
      <c r="H370" s="13"/>
      <c r="I370" s="13"/>
      <c r="J370" s="15"/>
      <c r="K370" s="16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 spans="1:34" ht="13" x14ac:dyDescent="0.15">
      <c r="A371" s="2" t="s">
        <v>39</v>
      </c>
      <c r="B371" s="13"/>
      <c r="C371" s="13"/>
      <c r="D371" s="13"/>
      <c r="E371" s="12"/>
      <c r="F371" s="13"/>
      <c r="G371" s="13"/>
      <c r="H371" s="13"/>
      <c r="I371" s="13"/>
      <c r="J371" s="15"/>
      <c r="K371" s="16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 spans="1:34" ht="13" x14ac:dyDescent="0.15">
      <c r="A372" s="82">
        <v>46055</v>
      </c>
      <c r="B372" s="70" t="s">
        <v>48</v>
      </c>
      <c r="C372" s="70">
        <v>3</v>
      </c>
      <c r="D372" s="20" t="s">
        <v>118</v>
      </c>
      <c r="E372" s="20">
        <v>11</v>
      </c>
      <c r="F372" s="22">
        <v>6.33</v>
      </c>
      <c r="G372" s="22"/>
      <c r="H372" s="22">
        <v>0.67</v>
      </c>
      <c r="I372" s="23">
        <f>H372/F375</f>
        <v>1.4212982605006365E-2</v>
      </c>
      <c r="J372" s="22">
        <v>0.49</v>
      </c>
      <c r="K372" s="22">
        <f>(F372-J372)*100*C372</f>
        <v>1752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</row>
    <row r="373" spans="1:34" ht="13" x14ac:dyDescent="0.15">
      <c r="A373" s="68"/>
      <c r="B373" s="68"/>
      <c r="C373" s="68"/>
      <c r="D373" s="20"/>
      <c r="E373" s="20"/>
      <c r="F373" s="22"/>
      <c r="G373" s="22"/>
      <c r="H373" s="22"/>
      <c r="I373" s="22"/>
      <c r="J373" s="22"/>
      <c r="K373" s="22">
        <f>(F373-J373)*100*C372</f>
        <v>0</v>
      </c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</row>
    <row r="374" spans="1:34" ht="13" x14ac:dyDescent="0.15">
      <c r="A374" s="68"/>
      <c r="B374" s="68"/>
      <c r="C374" s="68"/>
      <c r="D374" s="20" t="s">
        <v>31</v>
      </c>
      <c r="E374" s="20"/>
      <c r="F374" s="22">
        <v>53.47</v>
      </c>
      <c r="G374" s="72" t="str">
        <f>IF(J374&gt;F375,"Did not breach BE ✅","breached BE")</f>
        <v>Did not breach BE ✅</v>
      </c>
      <c r="H374" s="68"/>
      <c r="I374" s="68"/>
      <c r="J374" s="52">
        <v>48.47</v>
      </c>
      <c r="K374" s="22">
        <f>(J374-F374)*100*C372</f>
        <v>-1500</v>
      </c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</row>
    <row r="375" spans="1:34" ht="13" x14ac:dyDescent="0.15">
      <c r="A375" s="19"/>
      <c r="B375" s="20"/>
      <c r="C375" s="25" t="s">
        <v>51</v>
      </c>
      <c r="D375" s="25" t="s">
        <v>32</v>
      </c>
      <c r="E375" s="19"/>
      <c r="F375" s="22">
        <f>F374-F372-F373</f>
        <v>47.14</v>
      </c>
      <c r="G375" s="23">
        <f>(F375-F374)/F374</f>
        <v>-0.11838414063961097</v>
      </c>
      <c r="H375" s="20"/>
      <c r="I375" s="20"/>
      <c r="J375" s="22">
        <f>J374-J373-J372</f>
        <v>47.98</v>
      </c>
      <c r="K375" s="26">
        <f>K374+K373+K372</f>
        <v>252</v>
      </c>
      <c r="L375" s="22">
        <f>(J375-F375)*100*C372</f>
        <v>251.99999999999889</v>
      </c>
      <c r="M375" s="23">
        <f>O375/(F374*C372*100)</f>
        <v>1.5627454647465868E-2</v>
      </c>
      <c r="N375" s="20"/>
      <c r="O375" s="22">
        <f>K375-($N$2*2)</f>
        <v>250.68</v>
      </c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</row>
    <row r="376" spans="1:34" ht="13" x14ac:dyDescent="0.15">
      <c r="A376" s="12"/>
      <c r="B376" s="13"/>
      <c r="C376" s="13"/>
      <c r="D376" s="13"/>
      <c r="E376" s="12"/>
      <c r="F376" s="13"/>
      <c r="G376" s="13"/>
      <c r="H376" s="13"/>
      <c r="I376" s="13"/>
      <c r="J376" s="15"/>
      <c r="K376" s="16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 spans="1:34" ht="13" x14ac:dyDescent="0.15">
      <c r="A377" s="82">
        <v>46056</v>
      </c>
      <c r="B377" s="70" t="s">
        <v>48</v>
      </c>
      <c r="C377" s="70">
        <v>1</v>
      </c>
      <c r="D377" s="20" t="s">
        <v>120</v>
      </c>
      <c r="E377" s="20">
        <v>11</v>
      </c>
      <c r="F377" s="22">
        <v>6.4</v>
      </c>
      <c r="G377" s="22"/>
      <c r="H377" s="22">
        <v>0.78</v>
      </c>
      <c r="I377" s="23">
        <f>H377/F380</f>
        <v>1.6875811337083515E-2</v>
      </c>
      <c r="J377" s="22">
        <v>1.49</v>
      </c>
      <c r="K377" s="22">
        <f>(F377-J377)*100*C377</f>
        <v>491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</row>
    <row r="378" spans="1:34" ht="13" x14ac:dyDescent="0.15">
      <c r="A378" s="68"/>
      <c r="B378" s="68"/>
      <c r="C378" s="68"/>
      <c r="D378" s="20"/>
      <c r="E378" s="20"/>
      <c r="F378" s="22"/>
      <c r="G378" s="22"/>
      <c r="H378" s="22"/>
      <c r="I378" s="22"/>
      <c r="J378" s="22"/>
      <c r="K378" s="22">
        <f>(F378-J378)*100*C377</f>
        <v>0</v>
      </c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</row>
    <row r="379" spans="1:34" ht="13" x14ac:dyDescent="0.15">
      <c r="A379" s="68"/>
      <c r="B379" s="68"/>
      <c r="C379" s="68"/>
      <c r="D379" s="20" t="s">
        <v>31</v>
      </c>
      <c r="E379" s="20"/>
      <c r="F379" s="22">
        <v>52.62</v>
      </c>
      <c r="G379" s="72" t="str">
        <f>IF(J379&gt;F380,"Did not breach BE ✅","breached BE")</f>
        <v>Did not breach BE ✅</v>
      </c>
      <c r="H379" s="68"/>
      <c r="I379" s="68"/>
      <c r="J379" s="52">
        <f>J374</f>
        <v>48.47</v>
      </c>
      <c r="K379" s="22">
        <f>(J379-F379)*100*C377</f>
        <v>-414.99999999999989</v>
      </c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</row>
    <row r="380" spans="1:34" ht="13" x14ac:dyDescent="0.15">
      <c r="A380" s="19"/>
      <c r="B380" s="20"/>
      <c r="C380" s="25" t="s">
        <v>51</v>
      </c>
      <c r="D380" s="25" t="s">
        <v>32</v>
      </c>
      <c r="E380" s="19"/>
      <c r="F380" s="22">
        <f>F379-F377-F378</f>
        <v>46.22</v>
      </c>
      <c r="G380" s="23">
        <f>(F380-F379)/F379</f>
        <v>-0.12162675788673506</v>
      </c>
      <c r="H380" s="20"/>
      <c r="I380" s="20"/>
      <c r="J380" s="22">
        <f>J379-J378-J377</f>
        <v>46.98</v>
      </c>
      <c r="K380" s="26">
        <f>K379+K378+K377</f>
        <v>76.000000000000114</v>
      </c>
      <c r="L380" s="22">
        <f>(J380-F380)*100*C377</f>
        <v>75.999999999999801</v>
      </c>
      <c r="M380" s="23">
        <f>O380/(F379*C377*100)</f>
        <v>1.4192322310908423E-2</v>
      </c>
      <c r="N380" s="20"/>
      <c r="O380" s="22">
        <f>K380-($N$2*2)</f>
        <v>74.680000000000121</v>
      </c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</row>
    <row r="381" spans="1:34" ht="13" x14ac:dyDescent="0.15">
      <c r="A381" s="12"/>
      <c r="B381" s="13"/>
      <c r="C381" s="13"/>
      <c r="D381" s="13"/>
      <c r="E381" s="12"/>
      <c r="F381" s="13"/>
      <c r="G381" s="13"/>
      <c r="H381" s="13"/>
      <c r="I381" s="13"/>
      <c r="J381" s="15"/>
      <c r="K381" s="16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 spans="1:34" ht="13" x14ac:dyDescent="0.15">
      <c r="A382" s="82">
        <v>46057</v>
      </c>
      <c r="B382" s="70" t="s">
        <v>48</v>
      </c>
      <c r="C382" s="70">
        <v>2</v>
      </c>
      <c r="D382" s="20" t="s">
        <v>121</v>
      </c>
      <c r="E382" s="20">
        <v>11</v>
      </c>
      <c r="F382" s="22">
        <v>6.9</v>
      </c>
      <c r="G382" s="22"/>
      <c r="H382" s="22">
        <v>0.54</v>
      </c>
      <c r="I382" s="23">
        <f>H382/F385</f>
        <v>1.2433801519686854E-2</v>
      </c>
      <c r="J382" s="22">
        <v>4.3499999999999996</v>
      </c>
      <c r="K382" s="22">
        <f>(F382-J382)*100*C382</f>
        <v>510.00000000000011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</row>
    <row r="383" spans="1:34" ht="13" x14ac:dyDescent="0.15">
      <c r="A383" s="68"/>
      <c r="B383" s="68"/>
      <c r="C383" s="68"/>
      <c r="D383" s="20"/>
      <c r="E383" s="20"/>
      <c r="F383" s="22"/>
      <c r="G383" s="22"/>
      <c r="H383" s="22"/>
      <c r="I383" s="22"/>
      <c r="J383" s="22"/>
      <c r="K383" s="22">
        <f>(F383-J383)*100*C382</f>
        <v>0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</row>
    <row r="384" spans="1:34" ht="13" x14ac:dyDescent="0.15">
      <c r="A384" s="68"/>
      <c r="B384" s="68"/>
      <c r="C384" s="68"/>
      <c r="D384" s="20" t="s">
        <v>31</v>
      </c>
      <c r="E384" s="20"/>
      <c r="F384" s="22">
        <v>50.33</v>
      </c>
      <c r="G384" s="72" t="str">
        <f>IF(J384&gt;F385,"Did not breach BE ✅","breached BE")</f>
        <v>Did not breach BE ✅</v>
      </c>
      <c r="H384" s="68"/>
      <c r="I384" s="68"/>
      <c r="J384" s="52">
        <f>J379</f>
        <v>48.47</v>
      </c>
      <c r="K384" s="22">
        <f>(J384-F384)*100*C382</f>
        <v>-371.99999999999989</v>
      </c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</row>
    <row r="385" spans="1:34" ht="13" x14ac:dyDescent="0.15">
      <c r="A385" s="19"/>
      <c r="B385" s="20"/>
      <c r="C385" s="25" t="s">
        <v>51</v>
      </c>
      <c r="D385" s="25" t="s">
        <v>32</v>
      </c>
      <c r="E385" s="19"/>
      <c r="F385" s="22">
        <f>F384-F382-F383</f>
        <v>43.43</v>
      </c>
      <c r="G385" s="23">
        <f>(F385-F384)/F384</f>
        <v>-0.13709517186568645</v>
      </c>
      <c r="H385" s="20"/>
      <c r="I385" s="20"/>
      <c r="J385" s="22">
        <f>J384-J383-J382</f>
        <v>44.12</v>
      </c>
      <c r="K385" s="26">
        <f>K384+K383+K382</f>
        <v>138.00000000000023</v>
      </c>
      <c r="L385" s="22">
        <f>(J385-F385)*100*C382</f>
        <v>137.99999999999955</v>
      </c>
      <c r="M385" s="23">
        <f>O385/(F384*C382*100)</f>
        <v>1.3578382674349318E-2</v>
      </c>
      <c r="N385" s="20"/>
      <c r="O385" s="22">
        <f>K385-($N$2*2)</f>
        <v>136.68000000000023</v>
      </c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</row>
    <row r="386" spans="1:34" ht="13" x14ac:dyDescent="0.15">
      <c r="A386" s="12"/>
      <c r="B386" s="13"/>
      <c r="C386" s="13"/>
      <c r="D386" s="13"/>
      <c r="E386" s="12"/>
      <c r="F386" s="13"/>
      <c r="G386" s="13"/>
      <c r="H386" s="13"/>
      <c r="I386" s="13"/>
      <c r="J386" s="15"/>
      <c r="K386" s="16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 spans="1:34" ht="13" x14ac:dyDescent="0.15">
      <c r="A387" s="2" t="s">
        <v>39</v>
      </c>
      <c r="B387" s="13"/>
      <c r="C387" s="13"/>
      <c r="D387" s="13"/>
      <c r="E387" s="12"/>
      <c r="F387" s="13"/>
      <c r="G387" s="13"/>
      <c r="H387" s="13"/>
      <c r="I387" s="13"/>
      <c r="J387" s="15"/>
      <c r="K387" s="16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 spans="1:34" ht="13" x14ac:dyDescent="0.15">
      <c r="A388" s="82">
        <v>46067</v>
      </c>
      <c r="B388" s="24"/>
      <c r="C388" s="70">
        <v>2</v>
      </c>
      <c r="D388" s="20" t="s">
        <v>121</v>
      </c>
      <c r="E388" s="20">
        <v>11</v>
      </c>
      <c r="F388" s="22">
        <v>5.45</v>
      </c>
      <c r="G388" s="22"/>
      <c r="H388" s="22">
        <v>0.54</v>
      </c>
      <c r="I388" s="23">
        <f>H388/F391</f>
        <v>1.2436665131275912E-2</v>
      </c>
      <c r="J388" s="22">
        <v>5.88</v>
      </c>
      <c r="K388" s="22">
        <f>(F388-J388)*100*C388</f>
        <v>-85.999999999999943</v>
      </c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</row>
    <row r="389" spans="1:34" ht="13" x14ac:dyDescent="0.15">
      <c r="A389" s="68"/>
      <c r="B389" s="24"/>
      <c r="C389" s="68"/>
      <c r="D389" s="20"/>
      <c r="E389" s="20"/>
      <c r="F389" s="22"/>
      <c r="G389" s="22"/>
      <c r="H389" s="22"/>
      <c r="I389" s="22"/>
      <c r="J389" s="22"/>
      <c r="K389" s="22">
        <f>(F389-J389)*100*C388</f>
        <v>0</v>
      </c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</row>
    <row r="390" spans="1:34" ht="13" x14ac:dyDescent="0.15">
      <c r="A390" s="68"/>
      <c r="B390" s="24"/>
      <c r="C390" s="68"/>
      <c r="D390" s="20" t="s">
        <v>31</v>
      </c>
      <c r="E390" s="20"/>
      <c r="F390" s="22">
        <v>48.87</v>
      </c>
      <c r="G390" s="72" t="str">
        <f>IF(J390&gt;F391,"Did not breach BE ✅","breached BE")</f>
        <v>Did not breach BE ✅</v>
      </c>
      <c r="H390" s="68"/>
      <c r="I390" s="68"/>
      <c r="J390" s="52">
        <v>50.06</v>
      </c>
      <c r="K390" s="22">
        <f>(J390-F390)*100*C388</f>
        <v>238.00000000000097</v>
      </c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</row>
    <row r="391" spans="1:34" ht="13" x14ac:dyDescent="0.15">
      <c r="A391" s="19"/>
      <c r="B391" s="20"/>
      <c r="C391" s="25" t="s">
        <v>51</v>
      </c>
      <c r="D391" s="25" t="s">
        <v>32</v>
      </c>
      <c r="E391" s="19"/>
      <c r="F391" s="22">
        <f>F390-F388-F389</f>
        <v>43.419999999999995</v>
      </c>
      <c r="G391" s="23">
        <f>(F391-F390)/F390</f>
        <v>-0.11152036013914474</v>
      </c>
      <c r="H391" s="20"/>
      <c r="I391" s="20"/>
      <c r="J391" s="22">
        <f>J390-J389-J388</f>
        <v>44.18</v>
      </c>
      <c r="K391" s="26">
        <f>K390+K389+K388</f>
        <v>152.00000000000102</v>
      </c>
      <c r="L391" s="22">
        <f>(J391-F391)*100*C388</f>
        <v>152.00000000000102</v>
      </c>
      <c r="M391" s="23">
        <f>O391/(F390*C388*100)</f>
        <v>1.5416410886024251E-2</v>
      </c>
      <c r="N391" s="20"/>
      <c r="O391" s="22">
        <f>K391-($N$2*2)</f>
        <v>150.68000000000103</v>
      </c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</row>
    <row r="392" spans="1:34" ht="13" x14ac:dyDescent="0.15">
      <c r="A392" s="12"/>
      <c r="B392" s="13"/>
      <c r="C392" s="13"/>
      <c r="D392" s="13"/>
      <c r="E392" s="12"/>
      <c r="F392" s="13"/>
      <c r="G392" s="13"/>
      <c r="H392" s="13"/>
      <c r="I392" s="13"/>
      <c r="J392" s="15"/>
      <c r="K392" s="16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 spans="1:34" ht="13" x14ac:dyDescent="0.15">
      <c r="A393" s="13" t="s">
        <v>122</v>
      </c>
      <c r="B393" s="13"/>
      <c r="C393" s="13"/>
      <c r="D393" s="13"/>
      <c r="E393" s="12"/>
      <c r="F393" s="13"/>
      <c r="G393" s="13"/>
      <c r="H393" s="13"/>
      <c r="I393" s="13"/>
      <c r="J393" s="15"/>
      <c r="K393" s="16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 spans="1:34" ht="13" x14ac:dyDescent="0.15">
      <c r="A394" s="83">
        <v>46070</v>
      </c>
      <c r="B394" s="24"/>
      <c r="C394" s="70">
        <v>3</v>
      </c>
      <c r="D394" s="20" t="s">
        <v>123</v>
      </c>
      <c r="E394" s="20">
        <v>10</v>
      </c>
      <c r="F394" s="22">
        <v>7</v>
      </c>
      <c r="G394" s="22"/>
      <c r="H394" s="22">
        <v>0.8</v>
      </c>
      <c r="I394" s="23">
        <f>H394/F397</f>
        <v>1.950743721043648E-2</v>
      </c>
      <c r="J394" s="22">
        <v>7.6</v>
      </c>
      <c r="K394" s="22">
        <f>(F394-J394)*100*C394</f>
        <v>-179.99999999999989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</row>
    <row r="395" spans="1:34" ht="13" x14ac:dyDescent="0.15">
      <c r="A395" s="68"/>
      <c r="B395" s="24"/>
      <c r="C395" s="68"/>
      <c r="D395" s="20"/>
      <c r="E395" s="20"/>
      <c r="F395" s="22"/>
      <c r="G395" s="22"/>
      <c r="H395" s="22"/>
      <c r="I395" s="22"/>
      <c r="J395" s="22"/>
      <c r="K395" s="22">
        <f>(F395-J395)*100*C394</f>
        <v>0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</row>
    <row r="396" spans="1:34" ht="13" x14ac:dyDescent="0.15">
      <c r="A396" s="68"/>
      <c r="B396" s="24"/>
      <c r="C396" s="68"/>
      <c r="D396" s="20" t="s">
        <v>31</v>
      </c>
      <c r="E396" s="20"/>
      <c r="F396" s="22">
        <v>48.01</v>
      </c>
      <c r="G396" s="72" t="str">
        <f>IF(J396&gt;F397,"Did not breach BE ✅","breached BE")</f>
        <v>Did not breach BE ✅</v>
      </c>
      <c r="H396" s="68"/>
      <c r="I396" s="68"/>
      <c r="J396" s="52">
        <v>49.52</v>
      </c>
      <c r="K396" s="22">
        <f>(J396-F396)*100*C394</f>
        <v>453.00000000000153</v>
      </c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</row>
    <row r="397" spans="1:34" ht="13" x14ac:dyDescent="0.15">
      <c r="A397" s="19"/>
      <c r="B397" s="20"/>
      <c r="C397" s="25" t="s">
        <v>51</v>
      </c>
      <c r="D397" s="25" t="s">
        <v>32</v>
      </c>
      <c r="E397" s="19"/>
      <c r="F397" s="22">
        <f>F396-F394-F395</f>
        <v>41.01</v>
      </c>
      <c r="G397" s="23">
        <f>(F397-F396)/F396</f>
        <v>-0.14580295771714227</v>
      </c>
      <c r="H397" s="20"/>
      <c r="I397" s="20"/>
      <c r="J397" s="22">
        <f>J396-J395-J394</f>
        <v>41.92</v>
      </c>
      <c r="K397" s="26">
        <f>K396+K395+K394</f>
        <v>273.00000000000165</v>
      </c>
      <c r="L397" s="22">
        <f>(J397-F397)*100*C394</f>
        <v>273.00000000000114</v>
      </c>
      <c r="M397" s="23">
        <f>O397/(F396*C394*100)</f>
        <v>1.8862736929806407E-2</v>
      </c>
      <c r="N397" s="20"/>
      <c r="O397" s="22">
        <f>K397-($N$2*2)</f>
        <v>271.68000000000166</v>
      </c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</row>
    <row r="398" spans="1:34" ht="13" x14ac:dyDescent="0.15">
      <c r="A398" s="12"/>
      <c r="B398" s="13"/>
      <c r="C398" s="13"/>
      <c r="D398" s="13"/>
      <c r="E398" s="12"/>
      <c r="F398" s="13"/>
      <c r="G398" s="13"/>
      <c r="H398" s="13"/>
      <c r="I398" s="13"/>
      <c r="J398" s="15"/>
      <c r="K398" s="16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 spans="1:34" ht="13" x14ac:dyDescent="0.15">
      <c r="A399" s="83">
        <v>46073</v>
      </c>
      <c r="B399" s="24"/>
      <c r="C399" s="70">
        <v>2</v>
      </c>
      <c r="D399" s="20" t="s">
        <v>121</v>
      </c>
      <c r="E399" s="20">
        <v>10</v>
      </c>
      <c r="F399" s="22">
        <v>5.98</v>
      </c>
      <c r="G399" s="22"/>
      <c r="H399" s="22">
        <v>1.05</v>
      </c>
      <c r="I399" s="23">
        <f>H399/F402</f>
        <v>2.44983667755483E-2</v>
      </c>
      <c r="J399" s="22">
        <v>6.3</v>
      </c>
      <c r="K399" s="22">
        <f>(F399-J399)*100*C399</f>
        <v>-63.999999999999879</v>
      </c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</row>
    <row r="400" spans="1:34" ht="13" x14ac:dyDescent="0.15">
      <c r="A400" s="68"/>
      <c r="B400" s="24"/>
      <c r="C400" s="68"/>
      <c r="D400" s="20"/>
      <c r="E400" s="20"/>
      <c r="F400" s="22"/>
      <c r="G400" s="22"/>
      <c r="H400" s="22"/>
      <c r="I400" s="22"/>
      <c r="J400" s="22"/>
      <c r="K400" s="22">
        <f>(F400-J400)*100*C399</f>
        <v>0</v>
      </c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</row>
    <row r="401" spans="1:34" ht="13" x14ac:dyDescent="0.15">
      <c r="A401" s="68"/>
      <c r="B401" s="24"/>
      <c r="C401" s="68"/>
      <c r="D401" s="20" t="s">
        <v>31</v>
      </c>
      <c r="E401" s="20"/>
      <c r="F401" s="22">
        <v>48.84</v>
      </c>
      <c r="G401" s="72" t="str">
        <f>IF(J401&gt;F402,"Did not breach BE ✅","breached BE")</f>
        <v>Did not breach BE ✅</v>
      </c>
      <c r="H401" s="68"/>
      <c r="I401" s="68"/>
      <c r="J401" s="52">
        <v>50.33</v>
      </c>
      <c r="K401" s="22">
        <f>(J401-F401)*100*C399</f>
        <v>297.99999999999898</v>
      </c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</row>
    <row r="402" spans="1:34" ht="13" x14ac:dyDescent="0.15">
      <c r="A402" s="19"/>
      <c r="B402" s="20"/>
      <c r="C402" s="25" t="s">
        <v>51</v>
      </c>
      <c r="D402" s="25" t="s">
        <v>32</v>
      </c>
      <c r="E402" s="19"/>
      <c r="F402" s="22">
        <f>F401-F399-F400</f>
        <v>42.86</v>
      </c>
      <c r="G402" s="23">
        <f>(F402-F401)/F401</f>
        <v>-0.12244062244062251</v>
      </c>
      <c r="H402" s="20"/>
      <c r="I402" s="20"/>
      <c r="J402" s="22">
        <f>J401-J400-J399</f>
        <v>44.03</v>
      </c>
      <c r="K402" s="26">
        <f>K401+K400+K399</f>
        <v>233.99999999999909</v>
      </c>
      <c r="L402" s="22">
        <f>(J402-F402)*100*C399</f>
        <v>234.00000000000034</v>
      </c>
      <c r="M402" s="23">
        <f>O402/(F401*C399*100)</f>
        <v>2.3820638820638729E-2</v>
      </c>
      <c r="N402" s="20"/>
      <c r="O402" s="22">
        <f>K402-($N$2*2)</f>
        <v>232.6799999999991</v>
      </c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</row>
    <row r="403" spans="1:34" ht="13" x14ac:dyDescent="0.15">
      <c r="A403" s="12"/>
      <c r="B403" s="13"/>
      <c r="C403" s="13"/>
      <c r="D403" s="13"/>
      <c r="E403" s="12"/>
      <c r="F403" s="13"/>
      <c r="G403" s="13"/>
      <c r="H403" s="13"/>
      <c r="I403" s="13"/>
      <c r="J403" s="15"/>
      <c r="K403" s="16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 spans="1:34" ht="13" x14ac:dyDescent="0.15">
      <c r="A404" s="83">
        <v>46073</v>
      </c>
      <c r="B404" s="24"/>
      <c r="C404" s="70">
        <v>1</v>
      </c>
      <c r="D404" s="66" t="s">
        <v>124</v>
      </c>
      <c r="E404" s="20">
        <v>2</v>
      </c>
      <c r="F404" s="22">
        <v>0.16</v>
      </c>
      <c r="G404" s="22"/>
      <c r="H404" s="22">
        <v>0.16</v>
      </c>
      <c r="I404" s="23">
        <f>H404/F407</f>
        <v>3.4904013961605581E-3</v>
      </c>
      <c r="J404" s="22">
        <v>0.08</v>
      </c>
      <c r="K404" s="22">
        <f>(F404-J404)*100*C404</f>
        <v>8</v>
      </c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</row>
    <row r="405" spans="1:34" ht="13" x14ac:dyDescent="0.15">
      <c r="A405" s="68"/>
      <c r="B405" s="24"/>
      <c r="C405" s="68"/>
      <c r="D405" s="66" t="s">
        <v>125</v>
      </c>
      <c r="E405" s="20"/>
      <c r="F405" s="22"/>
      <c r="G405" s="22"/>
      <c r="H405" s="22"/>
      <c r="I405" s="22"/>
      <c r="J405" s="22"/>
      <c r="K405" s="22">
        <f>(F405-J405)*100*C404</f>
        <v>0</v>
      </c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</row>
    <row r="406" spans="1:34" ht="13" x14ac:dyDescent="0.15">
      <c r="A406" s="68"/>
      <c r="B406" s="24"/>
      <c r="C406" s="68"/>
      <c r="D406" s="20" t="s">
        <v>31</v>
      </c>
      <c r="E406" s="20"/>
      <c r="F406" s="22">
        <v>46</v>
      </c>
      <c r="G406" s="72" t="str">
        <f>IF(J406&gt;F407,"Did not breach BE ✅","breached BE")</f>
        <v>Did not breach BE ✅</v>
      </c>
      <c r="H406" s="68"/>
      <c r="I406" s="68"/>
      <c r="J406" s="52">
        <v>46</v>
      </c>
      <c r="K406" s="22">
        <f>(J406-F406)*100*C404</f>
        <v>0</v>
      </c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</row>
    <row r="407" spans="1:34" ht="13" x14ac:dyDescent="0.15">
      <c r="A407" s="19"/>
      <c r="B407" s="20"/>
      <c r="C407" s="25" t="s">
        <v>51</v>
      </c>
      <c r="D407" s="25" t="s">
        <v>32</v>
      </c>
      <c r="E407" s="19"/>
      <c r="F407" s="22">
        <f>F406-F404-F405</f>
        <v>45.84</v>
      </c>
      <c r="G407" s="23">
        <f>(F407-F406)/F406</f>
        <v>-3.4782608695651434E-3</v>
      </c>
      <c r="H407" s="20"/>
      <c r="I407" s="20"/>
      <c r="J407" s="22">
        <f>J406-J405-J404</f>
        <v>45.92</v>
      </c>
      <c r="K407" s="26">
        <f>K406+K405+K404</f>
        <v>8</v>
      </c>
      <c r="L407" s="22">
        <f>(J407-F407)*100*C404</f>
        <v>7.9999999999998295</v>
      </c>
      <c r="M407" s="23">
        <f>O407/(F406*C404*100)</f>
        <v>1.4521739130434782E-3</v>
      </c>
      <c r="N407" s="20"/>
      <c r="O407" s="22">
        <f>K407-($N$2*2)</f>
        <v>6.68</v>
      </c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</row>
    <row r="408" spans="1:34" ht="13" x14ac:dyDescent="0.15">
      <c r="A408" s="12"/>
      <c r="B408" s="13"/>
      <c r="C408" s="13"/>
      <c r="D408" s="13"/>
      <c r="E408" s="12"/>
      <c r="F408" s="13"/>
      <c r="G408" s="13"/>
      <c r="H408" s="13"/>
      <c r="I408" s="13"/>
      <c r="J408" s="15"/>
      <c r="K408" s="16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 spans="1:34" ht="13" x14ac:dyDescent="0.15">
      <c r="A409" s="83">
        <v>46080</v>
      </c>
      <c r="B409" s="24"/>
      <c r="C409" s="70">
        <v>1</v>
      </c>
      <c r="D409" s="20" t="s">
        <v>121</v>
      </c>
      <c r="E409" s="20">
        <v>10</v>
      </c>
      <c r="F409" s="22">
        <v>5.37</v>
      </c>
      <c r="G409" s="22"/>
      <c r="H409" s="22">
        <v>0.78</v>
      </c>
      <c r="I409" s="23">
        <f>H409/F412</f>
        <v>1.8047200370198978E-2</v>
      </c>
      <c r="J409" s="22">
        <v>3.4</v>
      </c>
      <c r="K409" s="22">
        <f>(F409-J409)*100*C409</f>
        <v>197.00000000000003</v>
      </c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</row>
    <row r="410" spans="1:34" ht="13" x14ac:dyDescent="0.15">
      <c r="A410" s="68"/>
      <c r="B410" s="24"/>
      <c r="C410" s="68"/>
      <c r="D410" s="20"/>
      <c r="E410" s="20"/>
      <c r="F410" s="22"/>
      <c r="G410" s="22"/>
      <c r="H410" s="22"/>
      <c r="I410" s="22"/>
      <c r="J410" s="22"/>
      <c r="K410" s="22">
        <f>(F410-J410)*100*C409</f>
        <v>0</v>
      </c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</row>
    <row r="411" spans="1:34" ht="13" x14ac:dyDescent="0.15">
      <c r="A411" s="68"/>
      <c r="B411" s="24"/>
      <c r="C411" s="68"/>
      <c r="D411" s="20" t="s">
        <v>31</v>
      </c>
      <c r="E411" s="20"/>
      <c r="F411" s="22">
        <v>48.59</v>
      </c>
      <c r="G411" s="72" t="str">
        <f>IF(J411&gt;F412,"Did not breach BE ✅","breached BE")</f>
        <v>Did not breach BE ✅</v>
      </c>
      <c r="H411" s="68"/>
      <c r="I411" s="68"/>
      <c r="J411" s="52">
        <v>47.23</v>
      </c>
      <c r="K411" s="22">
        <f>(J411-F411)*100*C409</f>
        <v>-136.00000000000065</v>
      </c>
      <c r="L411" s="20"/>
      <c r="M411" s="20"/>
      <c r="N411" s="20"/>
      <c r="O411" s="20"/>
      <c r="P411" s="20"/>
      <c r="Q411" s="27">
        <v>46054</v>
      </c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</row>
    <row r="412" spans="1:34" ht="13" x14ac:dyDescent="0.15">
      <c r="A412" s="19"/>
      <c r="B412" s="20"/>
      <c r="C412" s="25" t="s">
        <v>51</v>
      </c>
      <c r="D412" s="25" t="s">
        <v>32</v>
      </c>
      <c r="E412" s="19"/>
      <c r="F412" s="22">
        <f>F411-F409-F410</f>
        <v>43.220000000000006</v>
      </c>
      <c r="G412" s="23">
        <f>(F412-F411)/F411</f>
        <v>-0.11051656719489601</v>
      </c>
      <c r="H412" s="20"/>
      <c r="I412" s="20"/>
      <c r="J412" s="22">
        <f>J411-J410-J409</f>
        <v>43.83</v>
      </c>
      <c r="K412" s="26">
        <f>K411+K410+K409</f>
        <v>60.999999999999375</v>
      </c>
      <c r="L412" s="22">
        <f>(J412-F412)*100*C409</f>
        <v>60.999999999999233</v>
      </c>
      <c r="M412" s="23">
        <f>O412/(F411*C409*100)</f>
        <v>1.2282362626054614E-2</v>
      </c>
      <c r="N412" s="20"/>
      <c r="O412" s="22">
        <f>K412-($N$2*2)</f>
        <v>59.679999999999374</v>
      </c>
      <c r="P412" s="20"/>
      <c r="Q412" s="22">
        <f>SUM(O374:O412)</f>
        <v>1183.4400000000016</v>
      </c>
      <c r="R412" s="23">
        <f>Q412/$B$1</f>
        <v>3.3812571428571477E-2</v>
      </c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</row>
    <row r="413" spans="1:34" ht="13" x14ac:dyDescent="0.15">
      <c r="A413" s="12"/>
      <c r="B413" s="13"/>
      <c r="C413" s="13"/>
      <c r="D413" s="13"/>
      <c r="E413" s="12"/>
      <c r="F413" s="13"/>
      <c r="G413" s="13"/>
      <c r="H413" s="13"/>
      <c r="I413" s="13"/>
      <c r="J413" s="15"/>
      <c r="K413" s="16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 spans="1:34" ht="13" x14ac:dyDescent="0.15">
      <c r="A414" s="2" t="s">
        <v>39</v>
      </c>
      <c r="B414" s="13"/>
      <c r="C414" s="13"/>
      <c r="D414" s="13"/>
      <c r="E414" s="12"/>
      <c r="F414" s="13"/>
      <c r="G414" s="13"/>
      <c r="H414" s="13"/>
      <c r="I414" s="13"/>
      <c r="J414" s="15"/>
      <c r="K414" s="16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 spans="1:34" ht="13" x14ac:dyDescent="0.15">
      <c r="A415" s="83">
        <v>46084</v>
      </c>
      <c r="B415" s="24"/>
      <c r="C415" s="70">
        <v>3</v>
      </c>
      <c r="D415" s="20" t="s">
        <v>126</v>
      </c>
      <c r="E415" s="20">
        <v>3</v>
      </c>
      <c r="F415" s="22">
        <v>6.24</v>
      </c>
      <c r="G415" s="22"/>
      <c r="H415" s="22">
        <v>0.37</v>
      </c>
      <c r="I415" s="23">
        <f>H415/F418</f>
        <v>9.1065714988924455E-3</v>
      </c>
      <c r="J415" s="22">
        <v>6.4</v>
      </c>
      <c r="K415" s="22">
        <f>(F415-J415)*100*C415</f>
        <v>-48.000000000000043</v>
      </c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</row>
    <row r="416" spans="1:34" ht="13" x14ac:dyDescent="0.15">
      <c r="A416" s="68"/>
      <c r="B416" s="24"/>
      <c r="C416" s="68"/>
      <c r="D416" s="20"/>
      <c r="E416" s="20"/>
      <c r="F416" s="22"/>
      <c r="G416" s="22"/>
      <c r="H416" s="22"/>
      <c r="I416" s="22"/>
      <c r="J416" s="22"/>
      <c r="K416" s="22">
        <f>(F416-J416)*100*C415</f>
        <v>0</v>
      </c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</row>
    <row r="417" spans="1:34" ht="13" x14ac:dyDescent="0.15">
      <c r="A417" s="68"/>
      <c r="B417" s="24"/>
      <c r="C417" s="68"/>
      <c r="D417" s="20" t="s">
        <v>31</v>
      </c>
      <c r="E417" s="20"/>
      <c r="F417" s="22">
        <v>46.87</v>
      </c>
      <c r="G417" s="72" t="str">
        <f>IF(J417&gt;F418,"Did not breach BE ✅","breached BE")</f>
        <v>Did not breach BE ✅</v>
      </c>
      <c r="H417" s="68"/>
      <c r="I417" s="68"/>
      <c r="J417" s="52">
        <v>47.23</v>
      </c>
      <c r="K417" s="22">
        <f>(J417-F417)*100*C415</f>
        <v>107.99999999999983</v>
      </c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</row>
    <row r="418" spans="1:34" ht="13" x14ac:dyDescent="0.15">
      <c r="A418" s="19"/>
      <c r="B418" s="20"/>
      <c r="C418" s="25" t="s">
        <v>51</v>
      </c>
      <c r="D418" s="25" t="s">
        <v>32</v>
      </c>
      <c r="E418" s="19"/>
      <c r="F418" s="22">
        <f>F417-F415-F416</f>
        <v>40.629999999999995</v>
      </c>
      <c r="G418" s="23">
        <f>(F418-F417)/F417</f>
        <v>-0.13313420098143808</v>
      </c>
      <c r="H418" s="20"/>
      <c r="I418" s="20"/>
      <c r="J418" s="22">
        <f>J417-J416-J415</f>
        <v>40.83</v>
      </c>
      <c r="K418" s="26">
        <f>K417+K416+K415</f>
        <v>59.999999999999787</v>
      </c>
      <c r="L418" s="22">
        <f>(J418-F418)*100*C415</f>
        <v>60.000000000000853</v>
      </c>
      <c r="M418" s="23">
        <f>O418/(F417*C415*100)</f>
        <v>4.173245146148908E-3</v>
      </c>
      <c r="N418" s="20"/>
      <c r="O418" s="22">
        <f>K418-($N$2*2)</f>
        <v>58.679999999999787</v>
      </c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</row>
    <row r="419" spans="1:34" ht="13" x14ac:dyDescent="0.15">
      <c r="A419" s="12"/>
      <c r="B419" s="13"/>
      <c r="C419" s="13"/>
      <c r="D419" s="13"/>
      <c r="E419" s="12"/>
      <c r="F419" s="13"/>
      <c r="G419" s="13"/>
      <c r="H419" s="13"/>
      <c r="I419" s="13"/>
      <c r="J419" s="15"/>
      <c r="K419" s="16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 spans="1:34" ht="13" x14ac:dyDescent="0.15">
      <c r="A420" s="83">
        <v>46084</v>
      </c>
      <c r="B420" s="24"/>
      <c r="C420" s="70">
        <v>1</v>
      </c>
      <c r="D420" s="20" t="s">
        <v>127</v>
      </c>
      <c r="E420" s="20">
        <v>3</v>
      </c>
      <c r="F420" s="22">
        <v>7.39</v>
      </c>
      <c r="G420" s="22"/>
      <c r="H420" s="22">
        <v>0.2</v>
      </c>
      <c r="I420" s="23">
        <f>H420/F423</f>
        <v>5.0903537795876815E-3</v>
      </c>
      <c r="J420" s="22">
        <v>7.7</v>
      </c>
      <c r="K420" s="22">
        <f>(F420-J420)*100*C420</f>
        <v>-31.00000000000005</v>
      </c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</row>
    <row r="421" spans="1:34" ht="13" x14ac:dyDescent="0.15">
      <c r="A421" s="68"/>
      <c r="B421" s="24"/>
      <c r="C421" s="68"/>
      <c r="D421" s="20"/>
      <c r="E421" s="20"/>
      <c r="F421" s="22"/>
      <c r="G421" s="22"/>
      <c r="H421" s="22"/>
      <c r="I421" s="22"/>
      <c r="J421" s="22"/>
      <c r="K421" s="22">
        <f>(F421-J421)*100*C420</f>
        <v>0</v>
      </c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</row>
    <row r="422" spans="1:34" ht="13" x14ac:dyDescent="0.15">
      <c r="A422" s="68"/>
      <c r="B422" s="24"/>
      <c r="C422" s="68"/>
      <c r="D422" s="20" t="s">
        <v>31</v>
      </c>
      <c r="E422" s="20"/>
      <c r="F422" s="22">
        <v>46.68</v>
      </c>
      <c r="G422" s="72" t="str">
        <f>IF(J422&gt;F423,"Did not breach BE ✅","breached BE")</f>
        <v>Did not breach BE ✅</v>
      </c>
      <c r="H422" s="68"/>
      <c r="I422" s="68"/>
      <c r="J422" s="52">
        <f>J417</f>
        <v>47.23</v>
      </c>
      <c r="K422" s="22">
        <f>(J422-F422)*100*C420</f>
        <v>54.999999999999716</v>
      </c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</row>
    <row r="423" spans="1:34" ht="13" x14ac:dyDescent="0.15">
      <c r="A423" s="19"/>
      <c r="B423" s="20"/>
      <c r="C423" s="25" t="s">
        <v>51</v>
      </c>
      <c r="D423" s="25" t="s">
        <v>32</v>
      </c>
      <c r="E423" s="19"/>
      <c r="F423" s="22">
        <f>F422-F420-F421</f>
        <v>39.29</v>
      </c>
      <c r="G423" s="23">
        <f>(F423-F422)/F422</f>
        <v>-0.15831191088260499</v>
      </c>
      <c r="H423" s="20"/>
      <c r="I423" s="20"/>
      <c r="J423" s="22">
        <f>J422-J421-J420</f>
        <v>39.529999999999994</v>
      </c>
      <c r="K423" s="26">
        <f>K422+K421+K420</f>
        <v>23.999999999999666</v>
      </c>
      <c r="L423" s="22">
        <f>(J423-F423)*100*C420</f>
        <v>23.999999999999488</v>
      </c>
      <c r="M423" s="23">
        <f>O423/(F422*C420*100)</f>
        <v>4.8586118251927306E-3</v>
      </c>
      <c r="N423" s="20"/>
      <c r="O423" s="22">
        <f>K423-($N$2*2)</f>
        <v>22.679999999999666</v>
      </c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</row>
    <row r="424" spans="1:34" ht="13" x14ac:dyDescent="0.15">
      <c r="A424" s="12"/>
      <c r="B424" s="13"/>
      <c r="C424" s="13"/>
      <c r="D424" s="13"/>
      <c r="E424" s="12"/>
      <c r="F424" s="13"/>
      <c r="G424" s="13"/>
      <c r="H424" s="13"/>
      <c r="I424" s="13"/>
      <c r="J424" s="15"/>
      <c r="K424" s="16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 spans="1:34" ht="13" x14ac:dyDescent="0.15">
      <c r="A425" s="83">
        <v>46084</v>
      </c>
      <c r="B425" s="24"/>
      <c r="C425" s="70">
        <v>1</v>
      </c>
      <c r="D425" s="20" t="s">
        <v>128</v>
      </c>
      <c r="E425" s="20">
        <v>1</v>
      </c>
      <c r="F425" s="22">
        <v>7</v>
      </c>
      <c r="G425" s="22"/>
      <c r="H425" s="22">
        <v>0.3</v>
      </c>
      <c r="I425" s="23">
        <f>H425/F428</f>
        <v>7.5566750629722911E-3</v>
      </c>
      <c r="J425" s="22">
        <v>7.2</v>
      </c>
      <c r="K425" s="22">
        <f>(F425-J425)*100*C425</f>
        <v>-20.000000000000018</v>
      </c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</row>
    <row r="426" spans="1:34" ht="13" x14ac:dyDescent="0.15">
      <c r="A426" s="68"/>
      <c r="B426" s="24"/>
      <c r="C426" s="68"/>
      <c r="D426" s="20"/>
      <c r="E426" s="20"/>
      <c r="F426" s="22"/>
      <c r="G426" s="22"/>
      <c r="H426" s="22"/>
      <c r="I426" s="22"/>
      <c r="J426" s="22"/>
      <c r="K426" s="22">
        <f>(F426-J426)*100*C425</f>
        <v>0</v>
      </c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</row>
    <row r="427" spans="1:34" ht="13" x14ac:dyDescent="0.15">
      <c r="A427" s="68"/>
      <c r="B427" s="24"/>
      <c r="C427" s="68"/>
      <c r="D427" s="20" t="s">
        <v>31</v>
      </c>
      <c r="E427" s="20"/>
      <c r="F427" s="22">
        <v>46.7</v>
      </c>
      <c r="G427" s="72" t="str">
        <f>IF(J427&gt;F428,"Did not breach BE ✅","breached BE")</f>
        <v>Did not breach BE ✅</v>
      </c>
      <c r="H427" s="68"/>
      <c r="I427" s="68"/>
      <c r="J427" s="52">
        <f>J422</f>
        <v>47.23</v>
      </c>
      <c r="K427" s="22">
        <f>(J427-F427)*100*C425</f>
        <v>52.999999999999403</v>
      </c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</row>
    <row r="428" spans="1:34" ht="13" x14ac:dyDescent="0.15">
      <c r="A428" s="19"/>
      <c r="B428" s="20"/>
      <c r="C428" s="25" t="s">
        <v>51</v>
      </c>
      <c r="D428" s="25" t="s">
        <v>32</v>
      </c>
      <c r="E428" s="19"/>
      <c r="F428" s="22">
        <f>F427-F425-F426</f>
        <v>39.700000000000003</v>
      </c>
      <c r="G428" s="23">
        <f>(F428-F427)/F427</f>
        <v>-0.14989293361884368</v>
      </c>
      <c r="H428" s="20"/>
      <c r="I428" s="20"/>
      <c r="J428" s="22">
        <f>J427-J426-J425</f>
        <v>40.029999999999994</v>
      </c>
      <c r="K428" s="26">
        <f>K427+K426+K425</f>
        <v>32.999999999999389</v>
      </c>
      <c r="L428" s="22">
        <f>(J428-F428)*100*C425</f>
        <v>32.999999999999119</v>
      </c>
      <c r="M428" s="23">
        <f>O428/(F427*C425*100)</f>
        <v>6.7837259100641091E-3</v>
      </c>
      <c r="N428" s="20"/>
      <c r="O428" s="22">
        <f>K428-($N$2*2)</f>
        <v>31.679999999999389</v>
      </c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</row>
    <row r="429" spans="1:34" ht="13" x14ac:dyDescent="0.15">
      <c r="A429" s="12"/>
      <c r="B429" s="13"/>
      <c r="C429" s="13"/>
      <c r="D429" s="13"/>
      <c r="E429" s="12"/>
      <c r="F429" s="13"/>
      <c r="G429" s="13"/>
      <c r="H429" s="13"/>
      <c r="I429" s="13"/>
      <c r="J429" s="15"/>
      <c r="K429" s="16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 spans="1:34" ht="13" x14ac:dyDescent="0.15">
      <c r="A430" s="2" t="s">
        <v>39</v>
      </c>
      <c r="B430" s="13"/>
      <c r="C430" s="13"/>
      <c r="D430" s="13"/>
      <c r="E430" s="12"/>
      <c r="F430" s="13"/>
      <c r="G430" s="13"/>
      <c r="H430" s="13"/>
      <c r="I430" s="13"/>
      <c r="J430" s="15"/>
      <c r="K430" s="16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 spans="1:34" ht="13" x14ac:dyDescent="0.15">
      <c r="A431" s="83">
        <v>46090</v>
      </c>
      <c r="B431" s="24"/>
      <c r="C431" s="70">
        <v>2</v>
      </c>
      <c r="D431" s="20" t="s">
        <v>128</v>
      </c>
      <c r="E431" s="20">
        <v>4</v>
      </c>
      <c r="F431" s="22">
        <v>6.9</v>
      </c>
      <c r="G431" s="22"/>
      <c r="H431" s="22">
        <v>0.35499999999999998</v>
      </c>
      <c r="I431" s="23">
        <f>H431/F434</f>
        <v>8.9533417402269857E-3</v>
      </c>
      <c r="J431" s="22">
        <v>5.95</v>
      </c>
      <c r="K431" s="22">
        <f>(F431-J431)*100*C431</f>
        <v>190.00000000000003</v>
      </c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</row>
    <row r="432" spans="1:34" ht="13" x14ac:dyDescent="0.15">
      <c r="A432" s="68"/>
      <c r="B432" s="24"/>
      <c r="C432" s="68"/>
      <c r="D432" s="20"/>
      <c r="E432" s="20"/>
      <c r="F432" s="22"/>
      <c r="G432" s="22"/>
      <c r="H432" s="22"/>
      <c r="I432" s="22"/>
      <c r="J432" s="22"/>
      <c r="K432" s="22">
        <f>(F432-J432)*100*C431</f>
        <v>0</v>
      </c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</row>
    <row r="433" spans="1:34" ht="13" x14ac:dyDescent="0.15">
      <c r="A433" s="68"/>
      <c r="B433" s="24"/>
      <c r="C433" s="68"/>
      <c r="D433" s="20" t="s">
        <v>31</v>
      </c>
      <c r="E433" s="20"/>
      <c r="F433" s="22">
        <v>46.55</v>
      </c>
      <c r="G433" s="72" t="str">
        <f>IF(J433&gt;F434,"Did not breach BE ✅","breached BE")</f>
        <v>Did not breach BE ✅</v>
      </c>
      <c r="H433" s="68"/>
      <c r="I433" s="68"/>
      <c r="J433" s="52">
        <v>45.93</v>
      </c>
      <c r="K433" s="22">
        <f>(J433-F433)*100*C431</f>
        <v>-123.99999999999949</v>
      </c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</row>
    <row r="434" spans="1:34" ht="13" x14ac:dyDescent="0.15">
      <c r="A434" s="19"/>
      <c r="B434" s="20"/>
      <c r="C434" s="25" t="s">
        <v>51</v>
      </c>
      <c r="D434" s="25" t="s">
        <v>32</v>
      </c>
      <c r="E434" s="19"/>
      <c r="F434" s="22">
        <f>F433-F431-F432</f>
        <v>39.65</v>
      </c>
      <c r="G434" s="23">
        <f>(F434-F433)/F433</f>
        <v>-0.14822771213748656</v>
      </c>
      <c r="H434" s="20"/>
      <c r="I434" s="20"/>
      <c r="J434" s="22">
        <f>J433-J432-J431</f>
        <v>39.979999999999997</v>
      </c>
      <c r="K434" s="26">
        <f>K433+K432+K431</f>
        <v>66.00000000000054</v>
      </c>
      <c r="L434" s="22">
        <f>(J434-F434)*100*C431</f>
        <v>65.999999999999659</v>
      </c>
      <c r="M434" s="23">
        <f>O434/(F433*C431*100)</f>
        <v>6.9473684210526899E-3</v>
      </c>
      <c r="N434" s="20"/>
      <c r="O434" s="22">
        <f>K434-($N$2*2)</f>
        <v>64.680000000000547</v>
      </c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</row>
    <row r="435" spans="1:34" ht="13" x14ac:dyDescent="0.15">
      <c r="A435" s="12"/>
      <c r="B435" s="13"/>
      <c r="C435" s="13"/>
      <c r="D435" s="13"/>
      <c r="E435" s="12"/>
      <c r="F435" s="13"/>
      <c r="G435" s="13"/>
      <c r="H435" s="13"/>
      <c r="I435" s="13"/>
      <c r="J435" s="15"/>
      <c r="K435" s="16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 spans="1:34" ht="13" x14ac:dyDescent="0.15">
      <c r="A436" s="83">
        <v>46090</v>
      </c>
      <c r="B436" s="24"/>
      <c r="C436" s="70">
        <v>1</v>
      </c>
      <c r="D436" s="20" t="s">
        <v>129</v>
      </c>
      <c r="E436" s="20">
        <v>4</v>
      </c>
      <c r="F436" s="22">
        <v>8.42</v>
      </c>
      <c r="G436" s="22"/>
      <c r="H436" s="22">
        <v>0.2</v>
      </c>
      <c r="I436" s="23">
        <f>H436/F439</f>
        <v>5.1546391752577327E-3</v>
      </c>
      <c r="J436" s="22">
        <v>7.0250000000000004</v>
      </c>
      <c r="K436" s="22">
        <f>(F436-J436)*100*C436</f>
        <v>139.49999999999994</v>
      </c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</row>
    <row r="437" spans="1:34" ht="13" x14ac:dyDescent="0.15">
      <c r="A437" s="68"/>
      <c r="B437" s="24"/>
      <c r="C437" s="68"/>
      <c r="D437" s="20"/>
      <c r="E437" s="20"/>
      <c r="F437" s="22"/>
      <c r="G437" s="22"/>
      <c r="H437" s="22"/>
      <c r="I437" s="22"/>
      <c r="J437" s="22"/>
      <c r="K437" s="22">
        <f>(F437-J437)*100*C436</f>
        <v>0</v>
      </c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</row>
    <row r="438" spans="1:34" ht="13" x14ac:dyDescent="0.15">
      <c r="A438" s="68"/>
      <c r="B438" s="24"/>
      <c r="C438" s="68"/>
      <c r="D438" s="20" t="s">
        <v>31</v>
      </c>
      <c r="E438" s="20"/>
      <c r="F438" s="22">
        <v>47.22</v>
      </c>
      <c r="G438" s="72" t="str">
        <f>IF(J438&gt;F439,"Did not breach BE ✅","breached BE")</f>
        <v>Did not breach BE ✅</v>
      </c>
      <c r="H438" s="68"/>
      <c r="I438" s="68"/>
      <c r="J438" s="52">
        <f>J433</f>
        <v>45.93</v>
      </c>
      <c r="K438" s="22">
        <f>(J438-F438)*100*C436</f>
        <v>-128.99999999999991</v>
      </c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</row>
    <row r="439" spans="1:34" ht="13" x14ac:dyDescent="0.15">
      <c r="A439" s="19"/>
      <c r="B439" s="20"/>
      <c r="C439" s="25" t="s">
        <v>51</v>
      </c>
      <c r="D439" s="25" t="s">
        <v>32</v>
      </c>
      <c r="E439" s="19"/>
      <c r="F439" s="22">
        <f>F438-F436-F437</f>
        <v>38.799999999999997</v>
      </c>
      <c r="G439" s="23">
        <f>(F439-F438)/F438</f>
        <v>-0.17831427361287594</v>
      </c>
      <c r="H439" s="20"/>
      <c r="I439" s="20"/>
      <c r="J439" s="22">
        <f>J438-J437-J436</f>
        <v>38.905000000000001</v>
      </c>
      <c r="K439" s="26">
        <f>K438+K437+K436</f>
        <v>10.500000000000028</v>
      </c>
      <c r="L439" s="22">
        <f>(J439-F439)*100*C436</f>
        <v>10.500000000000398</v>
      </c>
      <c r="M439" s="23">
        <f>O439/(F438*C436*100)</f>
        <v>1.9440914866582016E-3</v>
      </c>
      <c r="N439" s="20"/>
      <c r="O439" s="22">
        <f>K439-($N$2*2)</f>
        <v>9.1800000000000281</v>
      </c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</row>
    <row r="440" spans="1:34" ht="13" x14ac:dyDescent="0.15">
      <c r="A440" s="12"/>
      <c r="B440" s="13"/>
      <c r="C440" s="13"/>
      <c r="D440" s="13"/>
      <c r="E440" s="12"/>
      <c r="F440" s="13"/>
      <c r="G440" s="13"/>
      <c r="H440" s="13"/>
      <c r="I440" s="13"/>
      <c r="J440" s="15"/>
      <c r="K440" s="16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 spans="1:34" ht="13" x14ac:dyDescent="0.15">
      <c r="A441" s="83">
        <v>46094</v>
      </c>
      <c r="B441" s="24"/>
      <c r="C441" s="70">
        <v>1</v>
      </c>
      <c r="D441" s="20" t="s">
        <v>126</v>
      </c>
      <c r="E441" s="20">
        <v>7</v>
      </c>
      <c r="F441" s="22">
        <v>5.82</v>
      </c>
      <c r="G441" s="22"/>
      <c r="H441" s="22">
        <v>0.69</v>
      </c>
      <c r="I441" s="23">
        <f>H441/F444</f>
        <v>1.7117340610270402E-2</v>
      </c>
      <c r="J441" s="22">
        <v>2.08</v>
      </c>
      <c r="K441" s="22">
        <f>(F441-J441)*100*C441</f>
        <v>374</v>
      </c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</row>
    <row r="442" spans="1:34" ht="13" x14ac:dyDescent="0.15">
      <c r="A442" s="68"/>
      <c r="B442" s="24"/>
      <c r="C442" s="68"/>
      <c r="D442" s="20"/>
      <c r="E442" s="20"/>
      <c r="F442" s="22"/>
      <c r="G442" s="22"/>
      <c r="H442" s="22"/>
      <c r="I442" s="22"/>
      <c r="J442" s="22"/>
      <c r="K442" s="22">
        <f>(F442-J442)*100*C441</f>
        <v>0</v>
      </c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</row>
    <row r="443" spans="1:34" ht="13" x14ac:dyDescent="0.15">
      <c r="A443" s="68"/>
      <c r="B443" s="24"/>
      <c r="C443" s="68"/>
      <c r="D443" s="20" t="s">
        <v>31</v>
      </c>
      <c r="E443" s="20"/>
      <c r="F443" s="22">
        <v>46.13</v>
      </c>
      <c r="G443" s="72" t="str">
        <f>IF(J443&gt;F444,"Did not breach BE ✅","breached BE")</f>
        <v>Did not breach BE ✅</v>
      </c>
      <c r="H443" s="68"/>
      <c r="I443" s="68"/>
      <c r="J443" s="52">
        <v>43.08</v>
      </c>
      <c r="K443" s="22">
        <f>(J443-F443)*100*C441</f>
        <v>-305.00000000000045</v>
      </c>
      <c r="L443" s="20"/>
      <c r="M443" s="20"/>
      <c r="N443" s="20"/>
      <c r="O443" s="20"/>
      <c r="P443" s="20"/>
      <c r="Q443" s="24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</row>
    <row r="444" spans="1:34" ht="13" x14ac:dyDescent="0.15">
      <c r="A444" s="19"/>
      <c r="B444" s="20"/>
      <c r="C444" s="25" t="s">
        <v>51</v>
      </c>
      <c r="D444" s="25" t="s">
        <v>32</v>
      </c>
      <c r="E444" s="19"/>
      <c r="F444" s="22">
        <f>F443-F441-F442</f>
        <v>40.31</v>
      </c>
      <c r="G444" s="23">
        <f>(F444-F443)/F443</f>
        <v>-0.12616518534576199</v>
      </c>
      <c r="H444" s="20"/>
      <c r="I444" s="20"/>
      <c r="J444" s="22">
        <f>J443-J442-J441</f>
        <v>41</v>
      </c>
      <c r="K444" s="26">
        <f>K443+K442+K441</f>
        <v>68.999999999999545</v>
      </c>
      <c r="L444" s="22">
        <f>(J444-F444)*100*C441</f>
        <v>68.999999999999773</v>
      </c>
      <c r="M444" s="23">
        <f>O444/(F443*C441*100)</f>
        <v>1.4814654238022881E-2</v>
      </c>
      <c r="N444" s="20"/>
      <c r="O444" s="22">
        <f>K444-($N$2*1)</f>
        <v>68.339999999999549</v>
      </c>
      <c r="P444" s="20"/>
      <c r="Q444" s="24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</row>
    <row r="445" spans="1:34" ht="13" x14ac:dyDescent="0.15">
      <c r="A445" s="12"/>
      <c r="B445" s="13"/>
      <c r="C445" s="13"/>
      <c r="D445" s="13"/>
      <c r="E445" s="12"/>
      <c r="F445" s="13"/>
      <c r="G445" s="13"/>
      <c r="H445" s="13"/>
      <c r="I445" s="13"/>
      <c r="J445" s="15"/>
      <c r="K445" s="16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 spans="1:34" ht="13" x14ac:dyDescent="0.15">
      <c r="A446" s="83">
        <v>46099</v>
      </c>
      <c r="B446" s="24"/>
      <c r="C446" s="70">
        <v>1</v>
      </c>
      <c r="D446" s="20" t="s">
        <v>123</v>
      </c>
      <c r="E446" s="20">
        <v>9</v>
      </c>
      <c r="F446" s="22">
        <v>7.04</v>
      </c>
      <c r="G446" s="22"/>
      <c r="H446" s="22">
        <v>0.5</v>
      </c>
      <c r="I446" s="23">
        <f>H446/F449</f>
        <v>1.2048192771084338E-2</v>
      </c>
      <c r="J446" s="22">
        <v>3.23</v>
      </c>
      <c r="K446" s="22">
        <f>(F446-J446)*100*C446</f>
        <v>381</v>
      </c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</row>
    <row r="447" spans="1:34" ht="13" x14ac:dyDescent="0.15">
      <c r="A447" s="68"/>
      <c r="B447" s="24"/>
      <c r="C447" s="68"/>
      <c r="D447" s="20"/>
      <c r="E447" s="20"/>
      <c r="F447" s="22"/>
      <c r="G447" s="22"/>
      <c r="H447" s="22"/>
      <c r="I447" s="22"/>
      <c r="J447" s="22"/>
      <c r="K447" s="22">
        <f>(F447-J447)*100*C446</f>
        <v>0</v>
      </c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</row>
    <row r="448" spans="1:34" ht="13" x14ac:dyDescent="0.15">
      <c r="A448" s="68"/>
      <c r="B448" s="24"/>
      <c r="C448" s="68"/>
      <c r="D448" s="20" t="s">
        <v>31</v>
      </c>
      <c r="E448" s="20"/>
      <c r="F448" s="22">
        <v>48.54</v>
      </c>
      <c r="G448" s="72" t="str">
        <f>IF(J448&gt;F449,"Did not breach BE ✅","breached BE")</f>
        <v>Did not breach BE ✅</v>
      </c>
      <c r="H448" s="68"/>
      <c r="I448" s="68"/>
      <c r="J448" s="52">
        <v>44.97</v>
      </c>
      <c r="K448" s="22">
        <f>(J448-F448)*100*C446</f>
        <v>-357</v>
      </c>
      <c r="L448" s="20"/>
      <c r="M448" s="20"/>
      <c r="N448" s="20"/>
      <c r="O448" s="20"/>
      <c r="P448" s="20"/>
      <c r="Q448" s="27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</row>
    <row r="449" spans="1:34" ht="13" x14ac:dyDescent="0.15">
      <c r="A449" s="19"/>
      <c r="B449" s="20"/>
      <c r="C449" s="25" t="s">
        <v>51</v>
      </c>
      <c r="D449" s="25" t="s">
        <v>32</v>
      </c>
      <c r="E449" s="19"/>
      <c r="F449" s="22">
        <f>F448-F446-F447</f>
        <v>41.5</v>
      </c>
      <c r="G449" s="23">
        <f>(F449-F448)/F448</f>
        <v>-0.14503502266172227</v>
      </c>
      <c r="H449" s="20"/>
      <c r="I449" s="20"/>
      <c r="J449" s="22">
        <f>J448-J447-J446</f>
        <v>41.74</v>
      </c>
      <c r="K449" s="26">
        <f>K448+K447+K446</f>
        <v>24</v>
      </c>
      <c r="L449" s="22">
        <f>(J449-F449)*100*C446</f>
        <v>24.000000000000199</v>
      </c>
      <c r="M449" s="23">
        <f>O449/(F448*C446*100)</f>
        <v>4.6724351050679855E-3</v>
      </c>
      <c r="N449" s="20"/>
      <c r="O449" s="22">
        <f>K449-($N$2*2)</f>
        <v>22.68</v>
      </c>
      <c r="P449" s="20"/>
      <c r="Q449" s="22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</row>
    <row r="450" spans="1:34" ht="13" x14ac:dyDescent="0.15">
      <c r="A450" s="12"/>
      <c r="B450" s="13"/>
      <c r="C450" s="13"/>
      <c r="D450" s="13"/>
      <c r="E450" s="12"/>
      <c r="F450" s="13"/>
      <c r="G450" s="13"/>
      <c r="H450" s="13"/>
      <c r="I450" s="13"/>
      <c r="J450" s="15"/>
      <c r="K450" s="16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 spans="1:34" ht="13" x14ac:dyDescent="0.15">
      <c r="A451" s="83">
        <v>46100</v>
      </c>
      <c r="B451" s="24"/>
      <c r="C451" s="70">
        <v>4</v>
      </c>
      <c r="D451" s="20" t="s">
        <v>126</v>
      </c>
      <c r="E451" s="20">
        <v>8</v>
      </c>
      <c r="F451" s="22">
        <v>5.04</v>
      </c>
      <c r="G451" s="22"/>
      <c r="H451" s="22">
        <v>0.74</v>
      </c>
      <c r="I451" s="23">
        <f>H451/F454</f>
        <v>1.8385093167701864E-2</v>
      </c>
      <c r="J451" s="22">
        <v>4.0999999999999996</v>
      </c>
      <c r="K451" s="22">
        <f>(F451-J451)*100*C451</f>
        <v>376.00000000000017</v>
      </c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</row>
    <row r="452" spans="1:34" ht="13" x14ac:dyDescent="0.15">
      <c r="A452" s="68"/>
      <c r="B452" s="24"/>
      <c r="C452" s="68"/>
      <c r="D452" s="20"/>
      <c r="E452" s="20"/>
      <c r="F452" s="22"/>
      <c r="G452" s="22"/>
      <c r="H452" s="22"/>
      <c r="I452" s="22"/>
      <c r="J452" s="22"/>
      <c r="K452" s="22">
        <f>(F452-J452)*100*C451</f>
        <v>0</v>
      </c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</row>
    <row r="453" spans="1:34" ht="13" x14ac:dyDescent="0.15">
      <c r="A453" s="68"/>
      <c r="B453" s="24"/>
      <c r="C453" s="68"/>
      <c r="D453" s="20" t="s">
        <v>31</v>
      </c>
      <c r="E453" s="20"/>
      <c r="F453" s="22">
        <v>45.29</v>
      </c>
      <c r="G453" s="72" t="str">
        <f>IF(J453&gt;F454,"Did not breach BE ✅","breached BE")</f>
        <v>Did not breach BE ✅</v>
      </c>
      <c r="H453" s="68"/>
      <c r="I453" s="68"/>
      <c r="J453" s="52">
        <v>44.92</v>
      </c>
      <c r="K453" s="22">
        <f>(J453-F453)*100*C451</f>
        <v>-147.99999999999898</v>
      </c>
      <c r="L453" s="20"/>
      <c r="M453" s="20"/>
      <c r="N453" s="20"/>
      <c r="O453" s="20"/>
      <c r="P453" s="20"/>
      <c r="Q453" s="27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</row>
    <row r="454" spans="1:34" ht="13" x14ac:dyDescent="0.15">
      <c r="A454" s="19"/>
      <c r="B454" s="20"/>
      <c r="C454" s="25" t="s">
        <v>51</v>
      </c>
      <c r="D454" s="25" t="s">
        <v>32</v>
      </c>
      <c r="E454" s="19"/>
      <c r="F454" s="22">
        <f>F453-F451-F452</f>
        <v>40.25</v>
      </c>
      <c r="G454" s="23">
        <f>(F454-F453)/F453</f>
        <v>-0.11128284389489952</v>
      </c>
      <c r="H454" s="20"/>
      <c r="I454" s="20"/>
      <c r="J454" s="22">
        <f>J453-J452-J451</f>
        <v>40.82</v>
      </c>
      <c r="K454" s="26">
        <f>(J454-F454)*C451*100</f>
        <v>228.00000000000011</v>
      </c>
      <c r="L454" s="22">
        <f>(J454-F454)*100*C451</f>
        <v>228.00000000000011</v>
      </c>
      <c r="M454" s="23">
        <f>O454/(F453*C451*100)</f>
        <v>1.2512695959372936E-2</v>
      </c>
      <c r="N454" s="20"/>
      <c r="O454" s="22">
        <f>K454-($N$2*2)</f>
        <v>226.68000000000012</v>
      </c>
      <c r="P454" s="20"/>
      <c r="Q454" s="22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</row>
    <row r="455" spans="1:34" ht="13" x14ac:dyDescent="0.15">
      <c r="A455" s="12"/>
      <c r="B455" s="13"/>
      <c r="C455" s="13"/>
      <c r="D455" s="13"/>
      <c r="E455" s="12"/>
      <c r="F455" s="13"/>
      <c r="G455" s="13"/>
      <c r="H455" s="13"/>
      <c r="I455" s="13"/>
      <c r="J455" s="15"/>
      <c r="K455" s="16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 spans="1:34" ht="13" x14ac:dyDescent="0.15">
      <c r="A456" s="13" t="s">
        <v>39</v>
      </c>
      <c r="B456" s="13"/>
      <c r="C456" s="13"/>
      <c r="D456" s="13"/>
      <c r="E456" s="12"/>
      <c r="F456" s="13"/>
      <c r="G456" s="13"/>
      <c r="H456" s="13"/>
      <c r="I456" s="13"/>
      <c r="J456" s="15"/>
      <c r="K456" s="16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 spans="1:34" ht="13" x14ac:dyDescent="0.15">
      <c r="A457" s="83">
        <v>46106</v>
      </c>
      <c r="B457" s="24"/>
      <c r="C457" s="70">
        <v>1</v>
      </c>
      <c r="D457" s="20" t="s">
        <v>130</v>
      </c>
      <c r="E457" s="20">
        <v>2</v>
      </c>
      <c r="F457" s="22">
        <v>7.65</v>
      </c>
      <c r="G457" s="22"/>
      <c r="H457" s="22">
        <v>0.15</v>
      </c>
      <c r="I457" s="23">
        <f>H457/F460</f>
        <v>4.0705563093622792E-3</v>
      </c>
      <c r="J457" s="22">
        <v>1.22</v>
      </c>
      <c r="K457" s="22">
        <f>(F457-J457)*100*C457</f>
        <v>643.00000000000011</v>
      </c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</row>
    <row r="458" spans="1:34" ht="13" x14ac:dyDescent="0.15">
      <c r="A458" s="68"/>
      <c r="B458" s="24"/>
      <c r="C458" s="68"/>
      <c r="D458" s="20"/>
      <c r="E458" s="20"/>
      <c r="F458" s="22"/>
      <c r="G458" s="22"/>
      <c r="H458" s="22"/>
      <c r="I458" s="22"/>
      <c r="J458" s="22"/>
      <c r="K458" s="22">
        <f>(F458-J458)*100*C457</f>
        <v>0</v>
      </c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</row>
    <row r="459" spans="1:34" ht="13" x14ac:dyDescent="0.15">
      <c r="A459" s="68"/>
      <c r="B459" s="24"/>
      <c r="C459" s="68"/>
      <c r="D459" s="20" t="s">
        <v>31</v>
      </c>
      <c r="E459" s="20"/>
      <c r="F459" s="22">
        <v>44.5</v>
      </c>
      <c r="G459" s="72" t="str">
        <f>IF(J459&gt;F460,"Did not breach BE ✅","breached BE")</f>
        <v>Did not breach BE ✅</v>
      </c>
      <c r="H459" s="68"/>
      <c r="I459" s="68"/>
      <c r="J459" s="52">
        <v>38.22</v>
      </c>
      <c r="K459" s="22">
        <f>(J459-F459)*100*C457</f>
        <v>-628.00000000000011</v>
      </c>
      <c r="L459" s="20"/>
      <c r="M459" s="20"/>
      <c r="N459" s="20"/>
      <c r="O459" s="20"/>
      <c r="P459" s="20"/>
      <c r="Q459" s="27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</row>
    <row r="460" spans="1:34" ht="13" x14ac:dyDescent="0.15">
      <c r="A460" s="19"/>
      <c r="B460" s="20"/>
      <c r="C460" s="25" t="s">
        <v>51</v>
      </c>
      <c r="D460" s="25" t="s">
        <v>32</v>
      </c>
      <c r="E460" s="19"/>
      <c r="F460" s="22">
        <f>F459-F457-F458</f>
        <v>36.85</v>
      </c>
      <c r="G460" s="23">
        <f>(F460-F459)/F459</f>
        <v>-0.17191011235955053</v>
      </c>
      <c r="H460" s="20"/>
      <c r="I460" s="20"/>
      <c r="J460" s="22">
        <f>J459-J458-J457</f>
        <v>37</v>
      </c>
      <c r="K460" s="26">
        <f>K459+K458+K457</f>
        <v>15</v>
      </c>
      <c r="L460" s="22">
        <f>(J460-F460)*100*C457</f>
        <v>14.999999999999858</v>
      </c>
      <c r="M460" s="23">
        <f>O460/(F459*C457*100)</f>
        <v>3.0741573033707865E-3</v>
      </c>
      <c r="N460" s="20"/>
      <c r="O460" s="22">
        <f>K460-($N$2*2)</f>
        <v>13.68</v>
      </c>
      <c r="P460" s="20"/>
      <c r="Q460" s="22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</row>
    <row r="461" spans="1:34" ht="13" x14ac:dyDescent="0.15">
      <c r="A461" s="12"/>
      <c r="B461" s="13"/>
      <c r="C461" s="13"/>
      <c r="D461" s="13"/>
      <c r="E461" s="12"/>
      <c r="F461" s="13"/>
      <c r="G461" s="13"/>
      <c r="H461" s="13"/>
      <c r="I461" s="13"/>
      <c r="J461" s="15"/>
      <c r="K461" s="16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 spans="1:34" ht="13" x14ac:dyDescent="0.15">
      <c r="A462" s="13" t="s">
        <v>39</v>
      </c>
      <c r="B462" s="13"/>
      <c r="C462" s="13"/>
      <c r="D462" s="13"/>
      <c r="E462" s="12"/>
      <c r="F462" s="13"/>
      <c r="G462" s="13"/>
      <c r="H462" s="13"/>
      <c r="I462" s="13"/>
      <c r="J462" s="15"/>
      <c r="K462" s="16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 spans="1:34" ht="13" x14ac:dyDescent="0.15">
      <c r="A463" s="83">
        <v>46111</v>
      </c>
      <c r="B463" s="24"/>
      <c r="C463" s="70">
        <v>3</v>
      </c>
      <c r="D463" s="20" t="s">
        <v>131</v>
      </c>
      <c r="E463" s="20">
        <v>3</v>
      </c>
      <c r="F463" s="22">
        <v>3.85</v>
      </c>
      <c r="G463" s="22"/>
      <c r="H463" s="22">
        <v>0.69</v>
      </c>
      <c r="I463" s="23">
        <f>H463/F466</f>
        <v>2.0432336393248447E-2</v>
      </c>
      <c r="J463" s="22">
        <f>F465-J465+F463</f>
        <v>3.579999999999997</v>
      </c>
      <c r="K463" s="22">
        <f>(F463-J463)*100*C463</f>
        <v>81.000000000000938</v>
      </c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</row>
    <row r="464" spans="1:34" ht="13" x14ac:dyDescent="0.15">
      <c r="A464" s="68"/>
      <c r="B464" s="24"/>
      <c r="C464" s="68"/>
      <c r="D464" s="20"/>
      <c r="E464" s="20"/>
      <c r="F464" s="22"/>
      <c r="G464" s="22"/>
      <c r="H464" s="22"/>
      <c r="I464" s="22"/>
      <c r="J464" s="22"/>
      <c r="K464" s="22">
        <f>(F464-J464)*100*C463</f>
        <v>0</v>
      </c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</row>
    <row r="465" spans="1:34" ht="13" x14ac:dyDescent="0.15">
      <c r="A465" s="68"/>
      <c r="B465" s="24"/>
      <c r="C465" s="68"/>
      <c r="D465" s="20" t="s">
        <v>31</v>
      </c>
      <c r="E465" s="20"/>
      <c r="F465" s="22">
        <v>37.619999999999997</v>
      </c>
      <c r="G465" s="72" t="str">
        <f>IF(J465&gt;F466,"Did not breach BE ✅","breached BE")</f>
        <v>Did not breach BE ✅</v>
      </c>
      <c r="H465" s="68"/>
      <c r="I465" s="68"/>
      <c r="J465" s="52">
        <v>37.89</v>
      </c>
      <c r="K465" s="22">
        <f>(J465-F465)*100*C463</f>
        <v>81.000000000000938</v>
      </c>
      <c r="L465" s="20"/>
      <c r="M465" s="20"/>
      <c r="N465" s="20"/>
      <c r="O465" s="20"/>
      <c r="P465" s="20"/>
      <c r="Q465" s="27">
        <v>46082</v>
      </c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</row>
    <row r="466" spans="1:34" ht="13" x14ac:dyDescent="0.15">
      <c r="A466" s="19"/>
      <c r="B466" s="20"/>
      <c r="C466" s="25" t="s">
        <v>51</v>
      </c>
      <c r="D466" s="25" t="s">
        <v>32</v>
      </c>
      <c r="E466" s="19"/>
      <c r="F466" s="22">
        <f>F465-F463-F464</f>
        <v>33.769999999999996</v>
      </c>
      <c r="G466" s="23">
        <f>(F466-F465)/F465</f>
        <v>-0.10233918128654976</v>
      </c>
      <c r="H466" s="20"/>
      <c r="I466" s="20"/>
      <c r="J466" s="22">
        <f>J465-J464-J463</f>
        <v>34.31</v>
      </c>
      <c r="K466" s="26">
        <f>(J466-F466)*C463*100</f>
        <v>162.00000000000188</v>
      </c>
      <c r="L466" s="22">
        <f>(J466-F466)*100*C463</f>
        <v>162.00000000000188</v>
      </c>
      <c r="M466" s="23">
        <f>O466/(F465*C463*100)</f>
        <v>1.4237107921318617E-2</v>
      </c>
      <c r="N466" s="20"/>
      <c r="O466" s="22">
        <f>K466-($N$2*2)</f>
        <v>160.68000000000188</v>
      </c>
      <c r="P466" s="20"/>
      <c r="Q466" s="22">
        <f>SUM(O417:O466)</f>
        <v>678.96000000000095</v>
      </c>
      <c r="R466" s="23">
        <f>Q466/$B$1</f>
        <v>1.9398857142857169E-2</v>
      </c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</row>
    <row r="467" spans="1:34" ht="13" x14ac:dyDescent="0.15">
      <c r="A467" s="12"/>
      <c r="B467" s="13"/>
      <c r="C467" s="13"/>
      <c r="D467" s="13"/>
      <c r="E467" s="12"/>
      <c r="F467" s="13"/>
      <c r="G467" s="13"/>
      <c r="H467" s="13"/>
      <c r="I467" s="13"/>
      <c r="J467" s="15"/>
      <c r="K467" s="16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 spans="1:34" ht="13" x14ac:dyDescent="0.15">
      <c r="A468" s="13" t="s">
        <v>132</v>
      </c>
      <c r="B468" s="13"/>
      <c r="C468" s="13"/>
      <c r="D468" s="13"/>
      <c r="E468" s="12"/>
      <c r="F468" s="13"/>
      <c r="G468" s="13"/>
      <c r="H468" s="13"/>
      <c r="I468" s="13"/>
      <c r="J468" s="15"/>
      <c r="K468" s="16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 spans="1:34" ht="13" x14ac:dyDescent="0.15">
      <c r="A469" s="83">
        <v>46119</v>
      </c>
      <c r="B469" s="24"/>
      <c r="C469" s="70">
        <v>2</v>
      </c>
      <c r="D469" s="20" t="s">
        <v>133</v>
      </c>
      <c r="E469" s="20">
        <v>3</v>
      </c>
      <c r="F469" s="22">
        <v>7.48</v>
      </c>
      <c r="G469" s="22"/>
      <c r="H469" s="22">
        <v>0.12</v>
      </c>
      <c r="I469" s="23">
        <f>H469/F472</f>
        <v>3.3917467495760321E-3</v>
      </c>
      <c r="J469" s="22">
        <v>13.85</v>
      </c>
      <c r="K469" s="22">
        <f>(F469-J469)*100*C469</f>
        <v>-1273.9999999999998</v>
      </c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</row>
    <row r="470" spans="1:34" ht="13" x14ac:dyDescent="0.15">
      <c r="A470" s="68"/>
      <c r="B470" s="24"/>
      <c r="C470" s="68"/>
      <c r="D470" s="20"/>
      <c r="E470" s="20"/>
      <c r="F470" s="22"/>
      <c r="G470" s="22"/>
      <c r="H470" s="22"/>
      <c r="I470" s="22"/>
      <c r="J470" s="22"/>
      <c r="K470" s="22">
        <f>(F470-J470)*100*C469</f>
        <v>0</v>
      </c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</row>
    <row r="471" spans="1:34" ht="13" x14ac:dyDescent="0.15">
      <c r="A471" s="68"/>
      <c r="B471" s="24"/>
      <c r="C471" s="68"/>
      <c r="D471" s="20" t="s">
        <v>31</v>
      </c>
      <c r="E471" s="20"/>
      <c r="F471" s="22">
        <v>42.86</v>
      </c>
      <c r="G471" s="72" t="str">
        <f>IF(J471&gt;F472,"Did not breach BE ✅","breached BE")</f>
        <v>Did not breach BE ✅</v>
      </c>
      <c r="H471" s="68"/>
      <c r="I471" s="68"/>
      <c r="J471" s="52">
        <v>49.36</v>
      </c>
      <c r="K471" s="22">
        <f>(J471-F471)*100*C469</f>
        <v>1300</v>
      </c>
      <c r="L471" s="20"/>
      <c r="M471" s="20"/>
      <c r="N471" s="20"/>
      <c r="O471" s="20"/>
      <c r="P471" s="20"/>
      <c r="Q471" s="27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</row>
    <row r="472" spans="1:34" ht="13" x14ac:dyDescent="0.15">
      <c r="A472" s="19"/>
      <c r="B472" s="20"/>
      <c r="C472" s="25" t="s">
        <v>51</v>
      </c>
      <c r="D472" s="25" t="s">
        <v>32</v>
      </c>
      <c r="E472" s="19"/>
      <c r="F472" s="22">
        <f>F471-F469-F470</f>
        <v>35.379999999999995</v>
      </c>
      <c r="G472" s="23">
        <f>(F472-F471)/F471</f>
        <v>-0.17452169855342986</v>
      </c>
      <c r="H472" s="20"/>
      <c r="I472" s="20"/>
      <c r="J472" s="22">
        <f>J471-J470-J469</f>
        <v>35.51</v>
      </c>
      <c r="K472" s="26">
        <f>(J472-F472)*C469*100</f>
        <v>26.000000000000512</v>
      </c>
      <c r="L472" s="22">
        <f>(J472-F472)*100*C469</f>
        <v>26.000000000000512</v>
      </c>
      <c r="M472" s="23">
        <f>O472/(F471*C469*100)</f>
        <v>2.8791413905740215E-3</v>
      </c>
      <c r="N472" s="20"/>
      <c r="O472" s="22">
        <f>K472-($N$2*2)</f>
        <v>24.680000000000511</v>
      </c>
      <c r="P472" s="20"/>
      <c r="Q472" s="22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</row>
    <row r="473" spans="1:34" ht="13" x14ac:dyDescent="0.15">
      <c r="A473" s="12"/>
      <c r="B473" s="13"/>
      <c r="C473" s="13"/>
      <c r="D473" s="13"/>
      <c r="E473" s="12"/>
      <c r="F473" s="13"/>
      <c r="G473" s="13"/>
      <c r="H473" s="13"/>
      <c r="I473" s="13"/>
      <c r="J473" s="15"/>
      <c r="K473" s="16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 spans="1:34" ht="13" x14ac:dyDescent="0.15">
      <c r="A474" s="13" t="s">
        <v>132</v>
      </c>
      <c r="B474" s="13"/>
      <c r="C474" s="13"/>
      <c r="D474" s="13"/>
      <c r="E474" s="12"/>
      <c r="F474" s="13"/>
      <c r="G474" s="13"/>
      <c r="H474" s="13"/>
      <c r="I474" s="13"/>
      <c r="J474" s="15"/>
      <c r="K474" s="16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 spans="1:34" ht="13" x14ac:dyDescent="0.15">
      <c r="A475" s="83">
        <v>46132</v>
      </c>
      <c r="B475" s="24"/>
      <c r="C475" s="70">
        <v>1</v>
      </c>
      <c r="D475" s="20" t="s">
        <v>134</v>
      </c>
      <c r="E475" s="20">
        <v>1</v>
      </c>
      <c r="F475" s="22">
        <v>6.76</v>
      </c>
      <c r="G475" s="22"/>
      <c r="H475" s="22">
        <v>0.22</v>
      </c>
      <c r="I475" s="23">
        <f>H475/F478</f>
        <v>4.3324143363528949E-3</v>
      </c>
      <c r="J475" s="22">
        <v>11.56</v>
      </c>
      <c r="K475" s="22">
        <f>(F475-J475)*100*C475</f>
        <v>-480.00000000000006</v>
      </c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</row>
    <row r="476" spans="1:34" ht="13" x14ac:dyDescent="0.15">
      <c r="A476" s="68"/>
      <c r="B476" s="24"/>
      <c r="C476" s="68"/>
      <c r="D476" s="20"/>
      <c r="E476" s="20"/>
      <c r="F476" s="22"/>
      <c r="G476" s="22"/>
      <c r="H476" s="22"/>
      <c r="I476" s="22"/>
      <c r="J476" s="22"/>
      <c r="K476" s="22">
        <f>(F476-J476)*100*C475</f>
        <v>0</v>
      </c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</row>
    <row r="477" spans="1:34" ht="13" x14ac:dyDescent="0.15">
      <c r="A477" s="68"/>
      <c r="B477" s="24"/>
      <c r="C477" s="68"/>
      <c r="D477" s="20" t="s">
        <v>31</v>
      </c>
      <c r="E477" s="20"/>
      <c r="F477" s="22">
        <v>57.54</v>
      </c>
      <c r="G477" s="72" t="str">
        <f>IF(J477&gt;F478,"Did not breach BE ✅","breached BE")</f>
        <v>Did not breach BE ✅</v>
      </c>
      <c r="H477" s="68"/>
      <c r="I477" s="68"/>
      <c r="J477" s="52">
        <v>62.56</v>
      </c>
      <c r="K477" s="22">
        <f>(J477-F477)*100*C475</f>
        <v>502.00000000000034</v>
      </c>
      <c r="L477" s="20"/>
      <c r="M477" s="20"/>
      <c r="N477" s="20"/>
      <c r="O477" s="20"/>
      <c r="P477" s="20"/>
      <c r="Q477" s="27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</row>
    <row r="478" spans="1:34" ht="13" x14ac:dyDescent="0.15">
      <c r="A478" s="19"/>
      <c r="B478" s="20"/>
      <c r="C478" s="25" t="s">
        <v>51</v>
      </c>
      <c r="D478" s="25" t="s">
        <v>32</v>
      </c>
      <c r="E478" s="19"/>
      <c r="F478" s="22">
        <f>F477-F475-F476</f>
        <v>50.78</v>
      </c>
      <c r="G478" s="23">
        <f>(F478-F477)/F477</f>
        <v>-0.11748348974626344</v>
      </c>
      <c r="H478" s="20"/>
      <c r="I478" s="20"/>
      <c r="J478" s="22">
        <f>J477-J476-J475</f>
        <v>51</v>
      </c>
      <c r="K478" s="26">
        <f>(J478-F478)*C475*100</f>
        <v>21.999999999999886</v>
      </c>
      <c r="L478" s="22">
        <f>(J478-F478)*100*C475</f>
        <v>21.999999999999886</v>
      </c>
      <c r="M478" s="23">
        <f>O478/(F477*C475*100)</f>
        <v>3.5940215502259102E-3</v>
      </c>
      <c r="N478" s="20"/>
      <c r="O478" s="22">
        <f>K478-($N$2*2)</f>
        <v>20.679999999999886</v>
      </c>
      <c r="P478" s="20"/>
      <c r="Q478" s="22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</row>
    <row r="479" spans="1:34" ht="13" x14ac:dyDescent="0.15">
      <c r="A479" s="12"/>
      <c r="B479" s="13"/>
      <c r="C479" s="13"/>
      <c r="D479" s="13"/>
      <c r="E479" s="12"/>
      <c r="F479" s="13"/>
      <c r="G479" s="13"/>
      <c r="H479" s="13"/>
      <c r="I479" s="13"/>
      <c r="J479" s="15"/>
      <c r="K479" s="16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 spans="1:34" ht="13" x14ac:dyDescent="0.15">
      <c r="A480" s="83">
        <v>46132</v>
      </c>
      <c r="B480" s="24"/>
      <c r="C480" s="70">
        <v>1</v>
      </c>
      <c r="D480" s="20" t="s">
        <v>134</v>
      </c>
      <c r="E480" s="20">
        <v>1</v>
      </c>
      <c r="F480" s="22">
        <v>6.43</v>
      </c>
      <c r="G480" s="22"/>
      <c r="H480" s="22">
        <v>0.24</v>
      </c>
      <c r="I480" s="23">
        <f>H480/F483</f>
        <v>4.7281323877068557E-3</v>
      </c>
      <c r="J480" s="22">
        <f>J475</f>
        <v>11.56</v>
      </c>
      <c r="K480" s="22">
        <f>(F480-J480)*100*C480</f>
        <v>-513.00000000000011</v>
      </c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</row>
    <row r="481" spans="1:34" ht="13" x14ac:dyDescent="0.15">
      <c r="A481" s="68"/>
      <c r="B481" s="24"/>
      <c r="C481" s="68"/>
      <c r="D481" s="20"/>
      <c r="E481" s="20"/>
      <c r="F481" s="22"/>
      <c r="G481" s="22"/>
      <c r="H481" s="22"/>
      <c r="I481" s="22"/>
      <c r="J481" s="22"/>
      <c r="K481" s="22">
        <f>(F481-J481)*100*C480</f>
        <v>0</v>
      </c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</row>
    <row r="482" spans="1:34" ht="13" x14ac:dyDescent="0.15">
      <c r="A482" s="68"/>
      <c r="B482" s="24"/>
      <c r="C482" s="68"/>
      <c r="D482" s="20" t="s">
        <v>31</v>
      </c>
      <c r="E482" s="20"/>
      <c r="F482" s="22">
        <v>57.19</v>
      </c>
      <c r="G482" s="72" t="str">
        <f>IF(J482&gt;F483,"Did not breach BE ✅","breached BE")</f>
        <v>Did not breach BE ✅</v>
      </c>
      <c r="H482" s="68"/>
      <c r="I482" s="68"/>
      <c r="J482" s="52">
        <f>J477</f>
        <v>62.56</v>
      </c>
      <c r="K482" s="22">
        <f>(J482-F482)*100*C480</f>
        <v>537.00000000000045</v>
      </c>
      <c r="L482" s="20"/>
      <c r="M482" s="20"/>
      <c r="N482" s="20"/>
      <c r="O482" s="20"/>
      <c r="P482" s="20"/>
      <c r="Q482" s="27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</row>
    <row r="483" spans="1:34" ht="13" x14ac:dyDescent="0.15">
      <c r="A483" s="19"/>
      <c r="B483" s="20"/>
      <c r="C483" s="25" t="s">
        <v>51</v>
      </c>
      <c r="D483" s="25" t="s">
        <v>32</v>
      </c>
      <c r="E483" s="19"/>
      <c r="F483" s="22">
        <f>F482-F480-F481</f>
        <v>50.76</v>
      </c>
      <c r="G483" s="23">
        <f>(F483-F482)/F482</f>
        <v>-0.11243224339919566</v>
      </c>
      <c r="H483" s="20"/>
      <c r="I483" s="20"/>
      <c r="J483" s="22">
        <f>J482-J481-J480</f>
        <v>51</v>
      </c>
      <c r="K483" s="26">
        <f>(J483-F483)*C480*100</f>
        <v>24.000000000000199</v>
      </c>
      <c r="L483" s="22">
        <f>(J483-F483)*100*C480</f>
        <v>24.000000000000199</v>
      </c>
      <c r="M483" s="23">
        <f>O483/(F482*C480*100)</f>
        <v>3.9657282741738416E-3</v>
      </c>
      <c r="N483" s="20"/>
      <c r="O483" s="22">
        <f>K483-($N$2*2)</f>
        <v>22.680000000000199</v>
      </c>
      <c r="P483" s="20"/>
      <c r="Q483" s="22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</row>
    <row r="484" spans="1:34" ht="13" x14ac:dyDescent="0.15">
      <c r="A484" s="12"/>
      <c r="B484" s="13"/>
      <c r="C484" s="13"/>
      <c r="D484" s="13"/>
      <c r="E484" s="12"/>
      <c r="F484" s="13"/>
      <c r="G484" s="13"/>
      <c r="H484" s="13"/>
      <c r="I484" s="13"/>
      <c r="J484" s="15"/>
      <c r="K484" s="16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 spans="1:34" ht="13" x14ac:dyDescent="0.15">
      <c r="A485" s="13" t="s">
        <v>132</v>
      </c>
      <c r="B485" s="13"/>
      <c r="C485" s="13"/>
      <c r="D485" s="13"/>
      <c r="E485" s="12"/>
      <c r="F485" s="13"/>
      <c r="G485" s="13"/>
      <c r="H485" s="13"/>
      <c r="I485" s="13"/>
      <c r="J485" s="15"/>
      <c r="K485" s="16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 spans="1:34" ht="13" x14ac:dyDescent="0.15">
      <c r="A486" s="83">
        <v>46139</v>
      </c>
      <c r="B486" s="24"/>
      <c r="C486" s="70">
        <v>2</v>
      </c>
      <c r="D486" s="20" t="s">
        <v>135</v>
      </c>
      <c r="E486" s="20">
        <v>1</v>
      </c>
      <c r="F486" s="22">
        <v>6.53</v>
      </c>
      <c r="G486" s="22"/>
      <c r="H486" s="22">
        <v>0.46</v>
      </c>
      <c r="I486" s="23">
        <f>H486/F489</f>
        <v>8.4310850439882692E-3</v>
      </c>
      <c r="J486" s="22">
        <v>10.28</v>
      </c>
      <c r="K486" s="22">
        <f>(F486-J486)*100*C486</f>
        <v>-749.99999999999977</v>
      </c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</row>
    <row r="487" spans="1:34" ht="13" x14ac:dyDescent="0.15">
      <c r="A487" s="68"/>
      <c r="B487" s="24"/>
      <c r="C487" s="68"/>
      <c r="D487" s="20"/>
      <c r="E487" s="20"/>
      <c r="F487" s="22"/>
      <c r="G487" s="22"/>
      <c r="H487" s="22"/>
      <c r="I487" s="22"/>
      <c r="J487" s="22"/>
      <c r="K487" s="22">
        <f>(F487-J487)*100*C486</f>
        <v>0</v>
      </c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</row>
    <row r="488" spans="1:34" ht="13" x14ac:dyDescent="0.15">
      <c r="A488" s="68"/>
      <c r="B488" s="24"/>
      <c r="C488" s="68"/>
      <c r="D488" s="20" t="s">
        <v>31</v>
      </c>
      <c r="E488" s="20"/>
      <c r="F488" s="22">
        <v>61.09</v>
      </c>
      <c r="G488" s="72" t="str">
        <f>IF(J488&gt;F489,"Did not breach BE ✅","breached BE")</f>
        <v>Did not breach BE ✅</v>
      </c>
      <c r="H488" s="68"/>
      <c r="I488" s="68"/>
      <c r="J488" s="52">
        <v>65.3</v>
      </c>
      <c r="K488" s="22">
        <f>(J488-F488)*100*C486</f>
        <v>841.99999999999875</v>
      </c>
      <c r="L488" s="20"/>
      <c r="M488" s="20"/>
      <c r="N488" s="20"/>
      <c r="O488" s="20"/>
      <c r="P488" s="20"/>
      <c r="Q488" s="27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</row>
    <row r="489" spans="1:34" ht="13" x14ac:dyDescent="0.15">
      <c r="A489" s="19"/>
      <c r="B489" s="20"/>
      <c r="C489" s="25" t="s">
        <v>51</v>
      </c>
      <c r="D489" s="25" t="s">
        <v>32</v>
      </c>
      <c r="E489" s="19"/>
      <c r="F489" s="22">
        <f>F488-F486-F487</f>
        <v>54.56</v>
      </c>
      <c r="G489" s="23">
        <f>(F489-F488)/F488</f>
        <v>-0.10689147159927977</v>
      </c>
      <c r="H489" s="20"/>
      <c r="I489" s="20"/>
      <c r="J489" s="22">
        <f>J488-J487-J486</f>
        <v>55.019999999999996</v>
      </c>
      <c r="K489" s="26">
        <f>(J489-F489)*C486*100</f>
        <v>91.999999999998749</v>
      </c>
      <c r="L489" s="22">
        <f>(J489-F489)*100*C486</f>
        <v>91.999999999998749</v>
      </c>
      <c r="M489" s="23">
        <f>O489/(F488*C486*100)</f>
        <v>7.4218366344736258E-3</v>
      </c>
      <c r="N489" s="20"/>
      <c r="O489" s="22">
        <f>K489-($N$2*2)</f>
        <v>90.679999999998756</v>
      </c>
      <c r="P489" s="20"/>
      <c r="Q489" s="22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</row>
    <row r="490" spans="1:34" ht="13" x14ac:dyDescent="0.15">
      <c r="A490" s="12"/>
      <c r="B490" s="13"/>
      <c r="C490" s="13"/>
      <c r="D490" s="13"/>
      <c r="E490" s="12"/>
      <c r="F490" s="13"/>
      <c r="G490" s="13"/>
      <c r="H490" s="13"/>
      <c r="I490" s="13"/>
      <c r="J490" s="15"/>
      <c r="K490" s="16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 spans="1:34" ht="13" x14ac:dyDescent="0.15">
      <c r="A491" s="83">
        <v>46139</v>
      </c>
      <c r="B491" s="24"/>
      <c r="C491" s="70">
        <v>4</v>
      </c>
      <c r="D491" s="20" t="s">
        <v>136</v>
      </c>
      <c r="E491" s="20">
        <v>1</v>
      </c>
      <c r="F491" s="22">
        <v>5.71</v>
      </c>
      <c r="G491" s="22"/>
      <c r="H491" s="22">
        <v>0.56999999999999995</v>
      </c>
      <c r="I491" s="23">
        <f>H491/F494</f>
        <v>1.0285095633345362E-2</v>
      </c>
      <c r="J491" s="22">
        <f>F491+(J493-F493)-H491</f>
        <v>9.3099999999999952</v>
      </c>
      <c r="K491" s="22">
        <f>(F491-J491)*100*C491</f>
        <v>-1439.9999999999982</v>
      </c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</row>
    <row r="492" spans="1:34" ht="13" x14ac:dyDescent="0.15">
      <c r="A492" s="68"/>
      <c r="B492" s="24"/>
      <c r="C492" s="68"/>
      <c r="D492" s="20"/>
      <c r="E492" s="20"/>
      <c r="F492" s="22"/>
      <c r="G492" s="22"/>
      <c r="H492" s="22"/>
      <c r="I492" s="22"/>
      <c r="J492" s="22"/>
      <c r="K492" s="22">
        <f>(F492-J492)*100*C491</f>
        <v>0</v>
      </c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</row>
    <row r="493" spans="1:34" ht="13" x14ac:dyDescent="0.15">
      <c r="A493" s="68"/>
      <c r="B493" s="24"/>
      <c r="C493" s="68"/>
      <c r="D493" s="20" t="s">
        <v>31</v>
      </c>
      <c r="E493" s="20"/>
      <c r="F493" s="22">
        <v>61.13</v>
      </c>
      <c r="G493" s="72" t="str">
        <f>IF(J493&gt;F494,"Did not breach BE ✅","breached BE")</f>
        <v>Did not breach BE ✅</v>
      </c>
      <c r="H493" s="68"/>
      <c r="I493" s="68"/>
      <c r="J493" s="52">
        <f>J488</f>
        <v>65.3</v>
      </c>
      <c r="K493" s="22">
        <f>(J493-F493)*100*C491</f>
        <v>1667.9999999999977</v>
      </c>
      <c r="L493" s="20"/>
      <c r="M493" s="20"/>
      <c r="N493" s="20"/>
      <c r="O493" s="20"/>
      <c r="P493" s="20"/>
      <c r="Q493" s="27">
        <v>46113</v>
      </c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</row>
    <row r="494" spans="1:34" ht="13" x14ac:dyDescent="0.15">
      <c r="A494" s="19"/>
      <c r="B494" s="20"/>
      <c r="C494" s="25" t="s">
        <v>51</v>
      </c>
      <c r="D494" s="25" t="s">
        <v>32</v>
      </c>
      <c r="E494" s="19"/>
      <c r="F494" s="22">
        <f>F493-F491-F492</f>
        <v>55.42</v>
      </c>
      <c r="G494" s="23">
        <f>(F494-F493)/F493</f>
        <v>-9.3407492229674469E-2</v>
      </c>
      <c r="H494" s="20"/>
      <c r="I494" s="20"/>
      <c r="J494" s="22">
        <f>J493-J492-J491</f>
        <v>55.99</v>
      </c>
      <c r="K494" s="26">
        <f>(J494-F494)*C491*100</f>
        <v>228.00000000000011</v>
      </c>
      <c r="L494" s="22">
        <f>(J494-F494)*100*C491</f>
        <v>228.00000000000011</v>
      </c>
      <c r="M494" s="23">
        <f>O494/(F493*C491*100)</f>
        <v>9.2704073286438791E-3</v>
      </c>
      <c r="N494" s="20"/>
      <c r="O494" s="22">
        <f>K494-($N$2*2)</f>
        <v>226.68000000000012</v>
      </c>
      <c r="P494" s="20"/>
      <c r="Q494" s="22">
        <f>SUM(O472:O494)</f>
        <v>385.39999999999947</v>
      </c>
      <c r="R494" s="23">
        <f>Q494/$B$1</f>
        <v>1.1011428571428556E-2</v>
      </c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</row>
    <row r="495" spans="1:34" ht="13" x14ac:dyDescent="0.15">
      <c r="A495" s="12"/>
      <c r="B495" s="13"/>
      <c r="C495" s="13"/>
      <c r="D495" s="13"/>
      <c r="E495" s="12"/>
      <c r="F495" s="13"/>
      <c r="G495" s="13"/>
      <c r="H495" s="13"/>
      <c r="I495" s="13"/>
      <c r="J495" s="15"/>
      <c r="K495" s="16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 spans="1:34" ht="13" x14ac:dyDescent="0.15">
      <c r="A496" s="12"/>
      <c r="B496" s="13"/>
      <c r="C496" s="13"/>
      <c r="D496" s="13"/>
      <c r="E496" s="12"/>
      <c r="F496" s="13"/>
      <c r="G496" s="13"/>
      <c r="H496" s="13"/>
      <c r="I496" s="13"/>
      <c r="J496" s="15"/>
      <c r="K496" s="16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 spans="1:34" ht="13" x14ac:dyDescent="0.15">
      <c r="A497" s="13" t="s">
        <v>132</v>
      </c>
      <c r="B497" s="13"/>
      <c r="C497" s="13"/>
      <c r="D497" s="13"/>
      <c r="E497" s="12"/>
      <c r="F497" s="13"/>
      <c r="G497" s="13"/>
      <c r="H497" s="13"/>
      <c r="I497" s="13"/>
      <c r="J497" s="15"/>
      <c r="K497" s="16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 spans="1:34" ht="13" x14ac:dyDescent="0.15">
      <c r="A498" s="83">
        <v>46147</v>
      </c>
      <c r="B498" s="24"/>
      <c r="C498" s="70">
        <v>2</v>
      </c>
      <c r="D498" s="20" t="s">
        <v>137</v>
      </c>
      <c r="E498" s="20">
        <v>5</v>
      </c>
      <c r="F498" s="22">
        <v>6.28</v>
      </c>
      <c r="G498" s="22"/>
      <c r="H498" s="22">
        <v>0.46</v>
      </c>
      <c r="I498" s="23">
        <f>H498/F501</f>
        <v>7.8578749572941597E-3</v>
      </c>
      <c r="J498" s="22">
        <v>17.28</v>
      </c>
      <c r="K498" s="22">
        <f>(F498-J498)*100*C498</f>
        <v>-2200</v>
      </c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</row>
    <row r="499" spans="1:34" ht="13" x14ac:dyDescent="0.15">
      <c r="A499" s="68"/>
      <c r="B499" s="24"/>
      <c r="C499" s="68"/>
      <c r="D499" s="20"/>
      <c r="E499" s="20"/>
      <c r="F499" s="22"/>
      <c r="G499" s="22"/>
      <c r="H499" s="22"/>
      <c r="I499" s="22"/>
      <c r="J499" s="22"/>
      <c r="K499" s="22">
        <f>(F499-J499)*100*C498</f>
        <v>0</v>
      </c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</row>
    <row r="500" spans="1:34" ht="13" x14ac:dyDescent="0.15">
      <c r="A500" s="68"/>
      <c r="B500" s="24"/>
      <c r="C500" s="68"/>
      <c r="D500" s="20" t="s">
        <v>31</v>
      </c>
      <c r="E500" s="20"/>
      <c r="F500" s="22">
        <v>64.819999999999993</v>
      </c>
      <c r="G500" s="72" t="str">
        <f>IF(J500&gt;F501,"Did not breach BE ✅","breached BE")</f>
        <v>Did not breach BE ✅</v>
      </c>
      <c r="H500" s="68"/>
      <c r="I500" s="68"/>
      <c r="J500" s="52">
        <v>76.28</v>
      </c>
      <c r="K500" s="22">
        <f>(J500-F500)*100*C498</f>
        <v>2292.0000000000018</v>
      </c>
      <c r="L500" s="20"/>
      <c r="M500" s="20"/>
      <c r="N500" s="20"/>
      <c r="O500" s="20"/>
      <c r="P500" s="20"/>
      <c r="Q500" s="27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</row>
    <row r="501" spans="1:34" ht="13" x14ac:dyDescent="0.15">
      <c r="A501" s="19"/>
      <c r="B501" s="20"/>
      <c r="C501" s="25" t="s">
        <v>51</v>
      </c>
      <c r="D501" s="25" t="s">
        <v>32</v>
      </c>
      <c r="E501" s="19"/>
      <c r="F501" s="22">
        <f>F500-F498-F499</f>
        <v>58.539999999999992</v>
      </c>
      <c r="G501" s="23">
        <f>(F501-F500)/F500</f>
        <v>-9.6883677877198426E-2</v>
      </c>
      <c r="H501" s="20"/>
      <c r="I501" s="20"/>
      <c r="J501" s="22">
        <f>J500-J499-J498</f>
        <v>59</v>
      </c>
      <c r="K501" s="26">
        <f>(J501-F501)*C498*100</f>
        <v>92.000000000001592</v>
      </c>
      <c r="L501" s="22">
        <f>(J501-F501)*100*C498</f>
        <v>92.000000000001592</v>
      </c>
      <c r="M501" s="23">
        <f>O501/(F500*C498*100)</f>
        <v>6.9947547053379831E-3</v>
      </c>
      <c r="N501" s="20"/>
      <c r="O501" s="22">
        <f>K501-($N$2*2)</f>
        <v>90.680000000001598</v>
      </c>
      <c r="P501" s="20"/>
      <c r="Q501" s="22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</row>
    <row r="502" spans="1:34" ht="13" x14ac:dyDescent="0.15">
      <c r="A502" s="12"/>
      <c r="B502" s="13"/>
      <c r="C502" s="13"/>
      <c r="D502" s="13"/>
      <c r="E502" s="12"/>
      <c r="F502" s="13"/>
      <c r="G502" s="13"/>
      <c r="H502" s="13"/>
      <c r="I502" s="13"/>
      <c r="J502" s="15"/>
      <c r="K502" s="16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 spans="1:34" ht="13" x14ac:dyDescent="0.15">
      <c r="A503" s="13" t="s">
        <v>132</v>
      </c>
      <c r="B503" s="13"/>
      <c r="C503" s="13"/>
      <c r="D503" s="13"/>
      <c r="E503" s="12"/>
      <c r="F503" s="13"/>
      <c r="G503" s="13"/>
      <c r="H503" s="13"/>
      <c r="I503" s="13"/>
      <c r="J503" s="15"/>
      <c r="K503" s="16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 spans="1:34" ht="13" x14ac:dyDescent="0.15">
      <c r="A504" s="83">
        <v>46155</v>
      </c>
      <c r="B504" s="24"/>
      <c r="C504" s="70">
        <v>1</v>
      </c>
      <c r="D504" s="20" t="s">
        <v>138</v>
      </c>
      <c r="E504" s="20">
        <v>5</v>
      </c>
      <c r="F504" s="22">
        <v>11.08</v>
      </c>
      <c r="G504" s="22"/>
      <c r="H504" s="22">
        <v>0.18</v>
      </c>
      <c r="I504" s="23">
        <f>H504/F507</f>
        <v>2.8204324663115006E-3</v>
      </c>
      <c r="J504" s="22">
        <v>11.34</v>
      </c>
      <c r="K504" s="22">
        <f>(F504-J504)*100*C504</f>
        <v>-25.999999999999979</v>
      </c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</row>
    <row r="505" spans="1:34" ht="13" x14ac:dyDescent="0.15">
      <c r="A505" s="68"/>
      <c r="B505" s="24"/>
      <c r="C505" s="68"/>
      <c r="D505" s="20"/>
      <c r="E505" s="20"/>
      <c r="F505" s="22"/>
      <c r="G505" s="22"/>
      <c r="H505" s="22"/>
      <c r="I505" s="22"/>
      <c r="J505" s="22"/>
      <c r="K505" s="22">
        <f>(F505-J505)*100*C504</f>
        <v>0</v>
      </c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</row>
    <row r="506" spans="1:34" ht="13" x14ac:dyDescent="0.15">
      <c r="A506" s="68"/>
      <c r="B506" s="24"/>
      <c r="C506" s="68"/>
      <c r="D506" s="20" t="s">
        <v>31</v>
      </c>
      <c r="E506" s="20"/>
      <c r="F506" s="22">
        <v>74.900000000000006</v>
      </c>
      <c r="G506" s="72" t="str">
        <f>IF(J506&gt;F507,"Did not breach BE ✅","breached BE")</f>
        <v>Did not breach BE ✅</v>
      </c>
      <c r="H506" s="68"/>
      <c r="I506" s="68"/>
      <c r="J506" s="52">
        <v>75.34</v>
      </c>
      <c r="K506" s="22">
        <f>(J506-F506)*100*C504</f>
        <v>43.999999999999773</v>
      </c>
      <c r="L506" s="20"/>
      <c r="M506" s="20"/>
      <c r="N506" s="20"/>
      <c r="O506" s="20"/>
      <c r="P506" s="20"/>
      <c r="Q506" s="27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</row>
    <row r="507" spans="1:34" ht="13" x14ac:dyDescent="0.15">
      <c r="A507" s="19"/>
      <c r="B507" s="20"/>
      <c r="C507" s="25" t="s">
        <v>51</v>
      </c>
      <c r="D507" s="25" t="s">
        <v>32</v>
      </c>
      <c r="E507" s="19"/>
      <c r="F507" s="22">
        <f>F506-F504-F505</f>
        <v>63.820000000000007</v>
      </c>
      <c r="G507" s="23">
        <f>(F507-F506)/F506</f>
        <v>-0.14793057409879837</v>
      </c>
      <c r="H507" s="20"/>
      <c r="I507" s="20"/>
      <c r="J507" s="22">
        <f>J506-J505-J504</f>
        <v>64</v>
      </c>
      <c r="K507" s="26">
        <f>(J507-F507)*C504*100</f>
        <v>17.999999999999261</v>
      </c>
      <c r="L507" s="22">
        <f>(J507-F507)*100*C504</f>
        <v>17.999999999999261</v>
      </c>
      <c r="M507" s="23">
        <f>O507/(F506*C504*100)</f>
        <v>2.226969292389754E-3</v>
      </c>
      <c r="N507" s="20"/>
      <c r="O507" s="22">
        <f>K507-($N$2*2)</f>
        <v>16.679999999999261</v>
      </c>
      <c r="P507" s="20"/>
      <c r="Q507" s="22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</row>
    <row r="508" spans="1:34" ht="13" x14ac:dyDescent="0.15">
      <c r="A508" s="12"/>
      <c r="B508" s="13"/>
      <c r="C508" s="13"/>
      <c r="D508" s="13"/>
      <c r="E508" s="12"/>
      <c r="F508" s="13"/>
      <c r="G508" s="13"/>
      <c r="H508" s="13"/>
      <c r="I508" s="13"/>
      <c r="J508" s="15"/>
      <c r="K508" s="16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 spans="1:34" ht="13" x14ac:dyDescent="0.15">
      <c r="A509" s="13" t="s">
        <v>132</v>
      </c>
      <c r="B509" s="13"/>
      <c r="C509" s="13"/>
      <c r="D509" s="13"/>
      <c r="E509" s="12"/>
      <c r="F509" s="13"/>
      <c r="G509" s="13"/>
      <c r="H509" s="13"/>
      <c r="I509" s="13"/>
      <c r="J509" s="15"/>
      <c r="K509" s="16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 spans="1:34" ht="13" x14ac:dyDescent="0.15">
      <c r="A510" s="83">
        <v>46160</v>
      </c>
      <c r="B510" s="24"/>
      <c r="C510" s="70">
        <v>3</v>
      </c>
      <c r="D510" s="20" t="s">
        <v>139</v>
      </c>
      <c r="E510" s="20">
        <v>5</v>
      </c>
      <c r="F510" s="22">
        <v>8.1199999999999992</v>
      </c>
      <c r="G510" s="22"/>
      <c r="H510" s="22">
        <v>0.63</v>
      </c>
      <c r="I510" s="23">
        <f>H510/F513</f>
        <v>9.3513433278907543E-3</v>
      </c>
      <c r="J510" s="22">
        <f>J512-F512+F510-H510</f>
        <v>9.8000000000000007</v>
      </c>
      <c r="K510" s="22">
        <f>(F510-J510)*100*C510</f>
        <v>-504.00000000000045</v>
      </c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</row>
    <row r="511" spans="1:34" ht="13" x14ac:dyDescent="0.15">
      <c r="A511" s="68"/>
      <c r="B511" s="24"/>
      <c r="C511" s="68"/>
      <c r="D511" s="20"/>
      <c r="E511" s="20"/>
      <c r="F511" s="22"/>
      <c r="G511" s="22"/>
      <c r="H511" s="22"/>
      <c r="I511" s="22"/>
      <c r="J511" s="22"/>
      <c r="K511" s="22">
        <f>(F511-J511)*100*C510</f>
        <v>0</v>
      </c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</row>
    <row r="512" spans="1:34" ht="13" x14ac:dyDescent="0.15">
      <c r="A512" s="68"/>
      <c r="B512" s="24"/>
      <c r="C512" s="68"/>
      <c r="D512" s="20" t="s">
        <v>31</v>
      </c>
      <c r="E512" s="20"/>
      <c r="F512" s="22">
        <v>75.489999999999995</v>
      </c>
      <c r="G512" s="72" t="str">
        <f>IF(J512&gt;F513,"Did not breach BE ✅","breached BE")</f>
        <v>Did not breach BE ✅</v>
      </c>
      <c r="H512" s="68"/>
      <c r="I512" s="68"/>
      <c r="J512" s="52">
        <v>77.8</v>
      </c>
      <c r="K512" s="22">
        <f>(J512-F512)*100*C510</f>
        <v>693.00000000000068</v>
      </c>
      <c r="L512" s="20"/>
      <c r="M512" s="20"/>
      <c r="N512" s="20"/>
      <c r="O512" s="20"/>
      <c r="P512" s="20"/>
      <c r="Q512" s="27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</row>
    <row r="513" spans="1:34" ht="13" x14ac:dyDescent="0.15">
      <c r="A513" s="19"/>
      <c r="B513" s="20"/>
      <c r="C513" s="25" t="s">
        <v>51</v>
      </c>
      <c r="D513" s="25" t="s">
        <v>32</v>
      </c>
      <c r="E513" s="19"/>
      <c r="F513" s="22">
        <f>F512-F510-F511</f>
        <v>67.36999999999999</v>
      </c>
      <c r="G513" s="23">
        <f>(F513-F512)/F512</f>
        <v>-0.10756391575043059</v>
      </c>
      <c r="H513" s="20"/>
      <c r="I513" s="20"/>
      <c r="J513" s="22">
        <f>J512-J511-J510</f>
        <v>68</v>
      </c>
      <c r="K513" s="26">
        <f>(J513-F513)*C510*100</f>
        <v>189.0000000000029</v>
      </c>
      <c r="L513" s="22">
        <f>(J513-F513)*100*C510</f>
        <v>189.0000000000029</v>
      </c>
      <c r="M513" s="23">
        <f>O513/(F512*C510*100)</f>
        <v>8.287190356338717E-3</v>
      </c>
      <c r="N513" s="20"/>
      <c r="O513" s="22">
        <f>K513-($N$2*2)</f>
        <v>187.68000000000291</v>
      </c>
      <c r="P513" s="20"/>
      <c r="Q513" s="24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</row>
    <row r="514" spans="1:34" ht="13" x14ac:dyDescent="0.15">
      <c r="A514" s="12"/>
      <c r="B514" s="13"/>
      <c r="C514" s="13"/>
      <c r="D514" s="13"/>
      <c r="E514" s="12"/>
      <c r="F514" s="13"/>
      <c r="G514" s="13"/>
      <c r="H514" s="13"/>
      <c r="I514" s="13"/>
      <c r="J514" s="15"/>
      <c r="K514" s="16"/>
      <c r="L514" s="7"/>
      <c r="M514" s="7"/>
      <c r="N514" s="7"/>
      <c r="O514" s="7"/>
      <c r="P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 spans="1:34" ht="13" x14ac:dyDescent="0.15">
      <c r="A515" s="83">
        <v>46160</v>
      </c>
      <c r="B515" s="24"/>
      <c r="C515" s="70">
        <v>1</v>
      </c>
      <c r="D515" s="20" t="s">
        <v>140</v>
      </c>
      <c r="E515" s="20">
        <v>5</v>
      </c>
      <c r="F515" s="22">
        <v>9.61</v>
      </c>
      <c r="G515" s="22"/>
      <c r="H515" s="22">
        <v>0.54</v>
      </c>
      <c r="I515" s="23">
        <f>H515/F518</f>
        <v>8.2493125572868937E-3</v>
      </c>
      <c r="J515" s="22">
        <f>J517-F517+F515-H515</f>
        <v>11.800000000000004</v>
      </c>
      <c r="K515" s="22">
        <f>(F515-J515)*100*C515</f>
        <v>-219.00000000000048</v>
      </c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</row>
    <row r="516" spans="1:34" ht="13" x14ac:dyDescent="0.15">
      <c r="A516" s="68"/>
      <c r="B516" s="24"/>
      <c r="C516" s="68"/>
      <c r="D516" s="20"/>
      <c r="E516" s="20"/>
      <c r="F516" s="22"/>
      <c r="G516" s="22"/>
      <c r="H516" s="22"/>
      <c r="I516" s="22"/>
      <c r="J516" s="22"/>
      <c r="K516" s="22">
        <f>(F516-J516)*100*C515</f>
        <v>0</v>
      </c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</row>
    <row r="517" spans="1:34" ht="13" x14ac:dyDescent="0.15">
      <c r="A517" s="68"/>
      <c r="B517" s="24"/>
      <c r="C517" s="68"/>
      <c r="D517" s="20" t="s">
        <v>31</v>
      </c>
      <c r="E517" s="20"/>
      <c r="F517" s="22">
        <v>75.069999999999993</v>
      </c>
      <c r="G517" s="72" t="str">
        <f>IF(J517&gt;F518,"Did not breach BE ✅","breached BE")</f>
        <v>Did not breach BE ✅</v>
      </c>
      <c r="H517" s="68"/>
      <c r="I517" s="68"/>
      <c r="J517" s="52">
        <v>77.8</v>
      </c>
      <c r="K517" s="22">
        <f>(J517-F517)*100*C515</f>
        <v>273.0000000000004</v>
      </c>
      <c r="L517" s="20"/>
      <c r="M517" s="20"/>
      <c r="N517" s="20"/>
      <c r="O517" s="20"/>
      <c r="P517" s="20"/>
      <c r="Q517" s="27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</row>
    <row r="518" spans="1:34" ht="13" x14ac:dyDescent="0.15">
      <c r="A518" s="19"/>
      <c r="B518" s="20"/>
      <c r="C518" s="25" t="s">
        <v>51</v>
      </c>
      <c r="D518" s="25" t="s">
        <v>32</v>
      </c>
      <c r="E518" s="19"/>
      <c r="F518" s="22">
        <f>F517-F515-F516</f>
        <v>65.459999999999994</v>
      </c>
      <c r="G518" s="23">
        <f>(F518-F517)/F517</f>
        <v>-0.12801385373651258</v>
      </c>
      <c r="H518" s="20"/>
      <c r="I518" s="20"/>
      <c r="J518" s="22">
        <f>J517-J516-J515</f>
        <v>66</v>
      </c>
      <c r="K518" s="26">
        <f>(J518-F518)*C515*100</f>
        <v>54.000000000000625</v>
      </c>
      <c r="L518" s="22">
        <f>(J518-F518)*100*C515</f>
        <v>54.000000000000625</v>
      </c>
      <c r="M518" s="23">
        <f>O518/(F517*C515*100)</f>
        <v>7.0174503796457477E-3</v>
      </c>
      <c r="N518" s="20"/>
      <c r="O518" s="22">
        <f>K518-($N$2*2)</f>
        <v>52.680000000000625</v>
      </c>
      <c r="P518" s="20"/>
      <c r="Q518" s="22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</row>
    <row r="519" spans="1:34" ht="13" x14ac:dyDescent="0.15">
      <c r="A519" s="12"/>
      <c r="B519" s="13"/>
      <c r="C519" s="13"/>
      <c r="D519" s="13"/>
      <c r="E519" s="12"/>
      <c r="F519" s="13"/>
      <c r="G519" s="13"/>
      <c r="H519" s="13"/>
      <c r="I519" s="13"/>
      <c r="J519" s="15"/>
      <c r="K519" s="16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 spans="1:34" ht="13" x14ac:dyDescent="0.15">
      <c r="A520" s="83">
        <v>46161</v>
      </c>
      <c r="B520" s="24"/>
      <c r="C520" s="70">
        <v>1</v>
      </c>
      <c r="D520" s="20" t="s">
        <v>139</v>
      </c>
      <c r="E520" s="20">
        <v>5</v>
      </c>
      <c r="F520" s="22">
        <v>4.9000000000000004</v>
      </c>
      <c r="G520" s="22"/>
      <c r="H520" s="22">
        <v>1.08</v>
      </c>
      <c r="I520" s="23">
        <f>H520/F523</f>
        <v>1.6138673042438736E-2</v>
      </c>
      <c r="J520" s="22">
        <f>J522-F522+F520-H520</f>
        <v>9.8000000000000043</v>
      </c>
      <c r="K520" s="22">
        <f>(F520-J520)*100*C520</f>
        <v>-490.0000000000004</v>
      </c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</row>
    <row r="521" spans="1:34" ht="13" x14ac:dyDescent="0.15">
      <c r="A521" s="68"/>
      <c r="B521" s="24"/>
      <c r="C521" s="68"/>
      <c r="D521" s="20"/>
      <c r="E521" s="20"/>
      <c r="F521" s="22"/>
      <c r="G521" s="22"/>
      <c r="H521" s="22"/>
      <c r="I521" s="22"/>
      <c r="J521" s="22"/>
      <c r="K521" s="22">
        <f>(F521-J521)*100*C520</f>
        <v>0</v>
      </c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</row>
    <row r="522" spans="1:34" ht="13" x14ac:dyDescent="0.15">
      <c r="A522" s="68"/>
      <c r="B522" s="24"/>
      <c r="C522" s="68"/>
      <c r="D522" s="20" t="s">
        <v>31</v>
      </c>
      <c r="E522" s="20"/>
      <c r="F522" s="22">
        <v>71.819999999999993</v>
      </c>
      <c r="G522" s="72" t="str">
        <f>IF(J522&gt;F523,"Did not breach BE ✅","breached BE")</f>
        <v>Did not breach BE ✅</v>
      </c>
      <c r="H522" s="68"/>
      <c r="I522" s="68"/>
      <c r="J522" s="52">
        <v>77.8</v>
      </c>
      <c r="K522" s="22">
        <f>(J522-F522)*100*C520</f>
        <v>598.00000000000045</v>
      </c>
      <c r="L522" s="20"/>
      <c r="M522" s="20"/>
      <c r="N522" s="20"/>
      <c r="O522" s="20"/>
      <c r="P522" s="20"/>
      <c r="Q522" s="27">
        <v>46143</v>
      </c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</row>
    <row r="523" spans="1:34" ht="13" x14ac:dyDescent="0.15">
      <c r="A523" s="19"/>
      <c r="B523" s="20"/>
      <c r="C523" s="25" t="s">
        <v>51</v>
      </c>
      <c r="D523" s="25" t="s">
        <v>32</v>
      </c>
      <c r="E523" s="19"/>
      <c r="F523" s="22">
        <f>F522-F520-F521</f>
        <v>66.919999999999987</v>
      </c>
      <c r="G523" s="23">
        <f>(F523-F522)/F522</f>
        <v>-6.8226120857699885E-2</v>
      </c>
      <c r="H523" s="20"/>
      <c r="I523" s="20"/>
      <c r="J523" s="22">
        <f>J522-J521-J520</f>
        <v>68</v>
      </c>
      <c r="K523" s="26">
        <f>(J523-F523)*C520*100</f>
        <v>108.00000000000125</v>
      </c>
      <c r="L523" s="22">
        <f>(J523-F523)*100*C520</f>
        <v>108.00000000000125</v>
      </c>
      <c r="M523" s="23">
        <f>O523/(F522*C520*100)</f>
        <v>1.485380116959082E-2</v>
      </c>
      <c r="N523" s="20"/>
      <c r="O523" s="22">
        <f>K523-($N$2*2)</f>
        <v>106.68000000000126</v>
      </c>
      <c r="P523" s="20"/>
      <c r="Q523" s="22">
        <f>SUM(O498:O524)</f>
        <v>454.40000000000566</v>
      </c>
      <c r="R523" s="23">
        <f>Q523/$B$1</f>
        <v>1.2982857142857305E-2</v>
      </c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</row>
    <row r="524" spans="1:34" ht="13" x14ac:dyDescent="0.15">
      <c r="A524" s="12"/>
      <c r="B524" s="13"/>
      <c r="C524" s="13"/>
      <c r="D524" s="13"/>
      <c r="E524" s="12"/>
      <c r="F524" s="13"/>
      <c r="G524" s="13"/>
      <c r="H524" s="13"/>
      <c r="I524" s="13"/>
      <c r="J524" s="15"/>
      <c r="K524" s="16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 spans="1:34" ht="13" x14ac:dyDescent="0.15">
      <c r="A525" s="13" t="s">
        <v>39</v>
      </c>
      <c r="B525" s="13"/>
      <c r="C525" s="13"/>
      <c r="D525" s="13"/>
      <c r="E525" s="12"/>
      <c r="F525" s="13"/>
      <c r="G525" s="13"/>
      <c r="H525" s="13"/>
      <c r="I525" s="13"/>
      <c r="J525" s="15"/>
      <c r="K525" s="16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 spans="1:34" ht="13" x14ac:dyDescent="0.15">
      <c r="A526" s="83">
        <v>46175</v>
      </c>
      <c r="B526" s="24"/>
      <c r="C526" s="70">
        <v>3</v>
      </c>
      <c r="D526" s="20" t="s">
        <v>141</v>
      </c>
      <c r="E526" s="20">
        <v>4</v>
      </c>
      <c r="F526" s="22">
        <v>6.43</v>
      </c>
      <c r="G526" s="22"/>
      <c r="H526" s="22">
        <v>0.51</v>
      </c>
      <c r="I526" s="23">
        <f t="shared" ref="I526:I529" si="2">H526/$F$531</f>
        <v>6.5637065637065622E-3</v>
      </c>
      <c r="J526" s="22">
        <v>0</v>
      </c>
      <c r="K526" s="22">
        <f>(F526-J526)*100*C526</f>
        <v>1929</v>
      </c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</row>
    <row r="527" spans="1:34" ht="13" x14ac:dyDescent="0.15">
      <c r="A527" s="68"/>
      <c r="B527" s="24"/>
      <c r="C527" s="68"/>
      <c r="D527" s="20" t="s">
        <v>142</v>
      </c>
      <c r="E527" s="20"/>
      <c r="F527" s="22">
        <v>1.1399999999999999</v>
      </c>
      <c r="G527" s="22"/>
      <c r="H527" s="22">
        <v>1.1399999999999999</v>
      </c>
      <c r="I527" s="23">
        <f t="shared" si="2"/>
        <v>1.4671814671814668E-2</v>
      </c>
      <c r="J527" s="22">
        <v>0.22</v>
      </c>
      <c r="K527" s="22">
        <f>(F527-J527)*100*C526</f>
        <v>276</v>
      </c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</row>
    <row r="528" spans="1:34" ht="13" x14ac:dyDescent="0.15">
      <c r="A528" s="68"/>
      <c r="B528" s="24"/>
      <c r="C528" s="68"/>
      <c r="D528" s="20" t="s">
        <v>143</v>
      </c>
      <c r="E528" s="20"/>
      <c r="F528" s="22">
        <v>0.35</v>
      </c>
      <c r="G528" s="20"/>
      <c r="H528" s="22">
        <v>0.35</v>
      </c>
      <c r="I528" s="23">
        <f t="shared" si="2"/>
        <v>4.5045045045045036E-3</v>
      </c>
      <c r="J528" s="52">
        <v>0.245</v>
      </c>
      <c r="K528" s="22">
        <f>(H528-J528)*100*C526</f>
        <v>31.499999999999993</v>
      </c>
      <c r="L528" s="20"/>
      <c r="M528" s="20"/>
      <c r="N528" s="20"/>
      <c r="O528" s="20"/>
      <c r="P528" s="20"/>
      <c r="Q528" s="27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</row>
    <row r="529" spans="1:34" ht="13" x14ac:dyDescent="0.15">
      <c r="A529" s="68"/>
      <c r="B529" s="24"/>
      <c r="C529" s="68"/>
      <c r="D529" s="20" t="s">
        <v>144</v>
      </c>
      <c r="E529" s="20"/>
      <c r="F529" s="22">
        <v>0.3</v>
      </c>
      <c r="G529" s="20"/>
      <c r="H529" s="22">
        <v>0.3</v>
      </c>
      <c r="I529" s="23">
        <f t="shared" si="2"/>
        <v>3.8610038610038602E-3</v>
      </c>
      <c r="J529" s="52">
        <v>0</v>
      </c>
      <c r="K529" s="22">
        <f>(H529-J529)*100*C526</f>
        <v>90</v>
      </c>
      <c r="L529" s="20"/>
      <c r="M529" s="20"/>
      <c r="N529" s="20"/>
      <c r="O529" s="20"/>
      <c r="P529" s="20"/>
      <c r="Q529" s="27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</row>
    <row r="530" spans="1:34" ht="13" x14ac:dyDescent="0.15">
      <c r="A530" s="68"/>
      <c r="B530" s="24"/>
      <c r="C530" s="68"/>
      <c r="D530" s="20" t="s">
        <v>31</v>
      </c>
      <c r="E530" s="20"/>
      <c r="F530" s="22">
        <v>85.92</v>
      </c>
      <c r="G530" s="72" t="str">
        <f>IF(J530&gt;F531,"Did not breach BE ✅","breached BE")</f>
        <v>Did not breach BE ✅</v>
      </c>
      <c r="H530" s="68"/>
      <c r="I530" s="68"/>
      <c r="J530" s="52">
        <v>82.2</v>
      </c>
      <c r="K530" s="22">
        <f>(J530-F530)*100*C526</f>
        <v>-1115.9999999999995</v>
      </c>
      <c r="L530" s="20"/>
      <c r="M530" s="20"/>
      <c r="N530" s="20"/>
      <c r="O530" s="20"/>
      <c r="P530" s="20"/>
      <c r="Q530" s="27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</row>
    <row r="531" spans="1:34" ht="13" x14ac:dyDescent="0.15">
      <c r="A531" s="19"/>
      <c r="B531" s="20"/>
      <c r="C531" s="25" t="s">
        <v>51</v>
      </c>
      <c r="D531" s="25" t="s">
        <v>32</v>
      </c>
      <c r="E531" s="19"/>
      <c r="F531" s="22">
        <f>F530-F526-F527-F528-F529</f>
        <v>77.700000000000017</v>
      </c>
      <c r="G531" s="23">
        <f>(F531-F530)/F530</f>
        <v>-9.5670391061452337E-2</v>
      </c>
      <c r="H531" s="20"/>
      <c r="I531" s="20"/>
      <c r="J531" s="22">
        <f>J530-J527-J526-J528-J529</f>
        <v>81.734999999999999</v>
      </c>
      <c r="K531" s="26">
        <f>(J531-F531)*C526*100</f>
        <v>1210.4999999999948</v>
      </c>
      <c r="L531" s="22">
        <f>(J531-F531)*100*C526</f>
        <v>1210.4999999999948</v>
      </c>
      <c r="M531" s="23">
        <f>O531/(F530*C526*100)</f>
        <v>4.6911080074487695E-2</v>
      </c>
      <c r="N531" s="20"/>
      <c r="O531" s="22">
        <f>K531-($N$2*2)</f>
        <v>1209.1799999999948</v>
      </c>
      <c r="P531" s="20"/>
      <c r="Q531" s="22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</row>
    <row r="532" spans="1:34" ht="13" x14ac:dyDescent="0.15">
      <c r="A532" s="12"/>
      <c r="B532" s="13"/>
      <c r="C532" s="13"/>
      <c r="D532" s="13"/>
      <c r="E532" s="12"/>
      <c r="F532" s="13"/>
      <c r="G532" s="13"/>
      <c r="H532" s="13"/>
      <c r="I532" s="13"/>
      <c r="J532" s="15"/>
      <c r="K532" s="16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 spans="1:34" ht="13" x14ac:dyDescent="0.15">
      <c r="A533" s="83">
        <v>46175</v>
      </c>
      <c r="B533" s="24"/>
      <c r="C533" s="70">
        <v>1</v>
      </c>
      <c r="D533" s="20" t="s">
        <v>141</v>
      </c>
      <c r="E533" s="20">
        <v>4</v>
      </c>
      <c r="F533" s="22">
        <v>6.77</v>
      </c>
      <c r="G533" s="22"/>
      <c r="H533" s="22">
        <v>0.56000000000000005</v>
      </c>
      <c r="I533" s="23">
        <f t="shared" ref="I533:I535" si="3">H533/$F$538</f>
        <v>7.2118480360592405E-3</v>
      </c>
      <c r="J533" s="22">
        <v>0</v>
      </c>
      <c r="K533" s="22">
        <f>(F533-J533)*100*C533</f>
        <v>677</v>
      </c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</row>
    <row r="534" spans="1:34" ht="13" x14ac:dyDescent="0.15">
      <c r="A534" s="68"/>
      <c r="B534" s="24"/>
      <c r="C534" s="68"/>
      <c r="D534" s="20" t="s">
        <v>142</v>
      </c>
      <c r="E534" s="20"/>
      <c r="F534" s="22">
        <v>1.1399999999999999</v>
      </c>
      <c r="G534" s="22"/>
      <c r="H534" s="22">
        <v>1.1399999999999999</v>
      </c>
      <c r="I534" s="23">
        <f t="shared" si="3"/>
        <v>1.4681262073406308E-2</v>
      </c>
      <c r="J534" s="22">
        <v>0.22</v>
      </c>
      <c r="K534" s="22">
        <f>(F534-J534)*100*C533</f>
        <v>92</v>
      </c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</row>
    <row r="535" spans="1:34" ht="13" x14ac:dyDescent="0.15">
      <c r="A535" s="68"/>
      <c r="B535" s="24"/>
      <c r="C535" s="68"/>
      <c r="D535" s="20" t="s">
        <v>143</v>
      </c>
      <c r="E535" s="20"/>
      <c r="F535" s="22">
        <v>0.35</v>
      </c>
      <c r="G535" s="20"/>
      <c r="H535" s="22">
        <v>0.35</v>
      </c>
      <c r="I535" s="23">
        <f t="shared" si="3"/>
        <v>4.5074050225370242E-3</v>
      </c>
      <c r="J535" s="52">
        <f t="shared" ref="J535:J537" si="4">J528</f>
        <v>0.245</v>
      </c>
      <c r="K535" s="22">
        <f>(H535-J535)*100*C533</f>
        <v>10.499999999999998</v>
      </c>
      <c r="L535" s="20"/>
      <c r="M535" s="20"/>
      <c r="N535" s="20"/>
      <c r="O535" s="20"/>
      <c r="P535" s="20"/>
      <c r="Q535" s="27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</row>
    <row r="536" spans="1:34" ht="13" x14ac:dyDescent="0.15">
      <c r="A536" s="68"/>
      <c r="B536" s="24"/>
      <c r="C536" s="68"/>
      <c r="D536" s="20" t="s">
        <v>144</v>
      </c>
      <c r="E536" s="20"/>
      <c r="F536" s="22">
        <v>0.3</v>
      </c>
      <c r="G536" s="20"/>
      <c r="H536" s="22">
        <v>0.3</v>
      </c>
      <c r="I536" s="23">
        <f>H536/$F$531</f>
        <v>3.8610038610038602E-3</v>
      </c>
      <c r="J536" s="52">
        <f t="shared" si="4"/>
        <v>0</v>
      </c>
      <c r="K536" s="22">
        <f>(H536-J536)*100*C533</f>
        <v>30</v>
      </c>
      <c r="L536" s="20"/>
      <c r="M536" s="20"/>
      <c r="N536" s="20"/>
      <c r="O536" s="20"/>
      <c r="P536" s="20"/>
      <c r="Q536" s="27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</row>
    <row r="537" spans="1:34" ht="13" x14ac:dyDescent="0.15">
      <c r="A537" s="68"/>
      <c r="B537" s="24"/>
      <c r="C537" s="68"/>
      <c r="D537" s="20" t="s">
        <v>31</v>
      </c>
      <c r="E537" s="20"/>
      <c r="F537" s="22">
        <v>86.21</v>
      </c>
      <c r="G537" s="72" t="str">
        <f>IF(J537&gt;F538,"Did not breach BE ✅","breached BE")</f>
        <v>Did not breach BE ✅</v>
      </c>
      <c r="H537" s="68"/>
      <c r="I537" s="68"/>
      <c r="J537" s="52">
        <f t="shared" si="4"/>
        <v>82.2</v>
      </c>
      <c r="K537" s="22">
        <f>(J537-F537)*100*C533</f>
        <v>-400.99999999999909</v>
      </c>
      <c r="L537" s="20"/>
      <c r="M537" s="20"/>
      <c r="N537" s="20"/>
      <c r="O537" s="20"/>
      <c r="P537" s="20"/>
      <c r="Q537" s="27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</row>
    <row r="538" spans="1:34" ht="13" x14ac:dyDescent="0.15">
      <c r="A538" s="19"/>
      <c r="B538" s="20"/>
      <c r="C538" s="25" t="s">
        <v>51</v>
      </c>
      <c r="D538" s="25" t="s">
        <v>32</v>
      </c>
      <c r="E538" s="19"/>
      <c r="F538" s="22">
        <f>F537-F533-F534-F535-F536</f>
        <v>77.650000000000006</v>
      </c>
      <c r="G538" s="23">
        <f>(F538-F537)/F537</f>
        <v>-9.9292425472682855E-2</v>
      </c>
      <c r="H538" s="20"/>
      <c r="I538" s="20"/>
      <c r="J538" s="22">
        <f>J537-J534-J533-J535-J536</f>
        <v>81.734999999999999</v>
      </c>
      <c r="K538" s="26">
        <f>(J538-F538)*C533*100</f>
        <v>408.49999999999937</v>
      </c>
      <c r="L538" s="22">
        <f>(J538-F538)*100*C533</f>
        <v>408.49999999999937</v>
      </c>
      <c r="M538" s="23">
        <f>O538/(F537*C533*100)</f>
        <v>4.7231179677531536E-2</v>
      </c>
      <c r="N538" s="20"/>
      <c r="O538" s="22">
        <f>K538-($N$2*2)</f>
        <v>407.17999999999938</v>
      </c>
      <c r="P538" s="20"/>
      <c r="Q538" s="22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</row>
    <row r="539" spans="1:34" ht="13" x14ac:dyDescent="0.15">
      <c r="A539" s="12"/>
      <c r="B539" s="13"/>
      <c r="C539" s="13"/>
      <c r="D539" s="13"/>
      <c r="E539" s="12"/>
      <c r="F539" s="13"/>
      <c r="G539" s="13"/>
      <c r="H539" s="13"/>
      <c r="I539" s="13"/>
      <c r="J539" s="15"/>
      <c r="K539" s="16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 spans="1:34" ht="13" x14ac:dyDescent="0.15">
      <c r="A540" s="83">
        <v>46177</v>
      </c>
      <c r="B540" s="24"/>
      <c r="C540" s="70">
        <v>1</v>
      </c>
      <c r="D540" s="20" t="s">
        <v>145</v>
      </c>
      <c r="E540" s="20">
        <v>2</v>
      </c>
      <c r="F540" s="22">
        <v>5.19</v>
      </c>
      <c r="G540" s="22"/>
      <c r="H540" s="22">
        <v>0.33</v>
      </c>
      <c r="I540" s="23">
        <f t="shared" ref="I540:I542" si="5">H540/$F$545</f>
        <v>4.2924037460978148E-3</v>
      </c>
      <c r="J540" s="22">
        <v>0</v>
      </c>
      <c r="K540" s="22">
        <f>(F540-J540)*100*C540</f>
        <v>519</v>
      </c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</row>
    <row r="541" spans="1:34" ht="13" x14ac:dyDescent="0.15">
      <c r="A541" s="68"/>
      <c r="B541" s="24"/>
      <c r="C541" s="68"/>
      <c r="D541" s="20" t="s">
        <v>142</v>
      </c>
      <c r="E541" s="20"/>
      <c r="F541" s="22">
        <v>1.1399999999999999</v>
      </c>
      <c r="G541" s="22"/>
      <c r="H541" s="22">
        <v>1.1399999999999999</v>
      </c>
      <c r="I541" s="23">
        <f t="shared" si="5"/>
        <v>1.4828303850156084E-2</v>
      </c>
      <c r="J541" s="22">
        <v>0.22</v>
      </c>
      <c r="K541" s="22">
        <f>(F541-J541)*100*C540</f>
        <v>92</v>
      </c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</row>
    <row r="542" spans="1:34" ht="13" x14ac:dyDescent="0.15">
      <c r="A542" s="68"/>
      <c r="B542" s="24"/>
      <c r="C542" s="68"/>
      <c r="D542" s="20" t="s">
        <v>143</v>
      </c>
      <c r="E542" s="20"/>
      <c r="F542" s="22">
        <v>0.35</v>
      </c>
      <c r="G542" s="20"/>
      <c r="H542" s="22">
        <v>0.35</v>
      </c>
      <c r="I542" s="23">
        <f t="shared" si="5"/>
        <v>4.5525494276794998E-3</v>
      </c>
      <c r="J542" s="52">
        <f t="shared" ref="J542:J544" si="6">J528</f>
        <v>0.245</v>
      </c>
      <c r="K542" s="22">
        <f>(H542-J542)*100*C540</f>
        <v>10.499999999999998</v>
      </c>
      <c r="L542" s="20"/>
      <c r="M542" s="20"/>
      <c r="N542" s="20"/>
      <c r="O542" s="20"/>
      <c r="P542" s="20"/>
      <c r="Q542" s="27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</row>
    <row r="543" spans="1:34" ht="13" x14ac:dyDescent="0.15">
      <c r="A543" s="68"/>
      <c r="B543" s="24"/>
      <c r="C543" s="68"/>
      <c r="D543" s="20" t="s">
        <v>144</v>
      </c>
      <c r="E543" s="20"/>
      <c r="F543" s="22">
        <v>0.3</v>
      </c>
      <c r="G543" s="20"/>
      <c r="H543" s="22">
        <v>0.3</v>
      </c>
      <c r="I543" s="23">
        <f>H543/$F$531</f>
        <v>3.8610038610038602E-3</v>
      </c>
      <c r="J543" s="52">
        <f t="shared" si="6"/>
        <v>0</v>
      </c>
      <c r="K543" s="22">
        <f>(H543-J543)*100*C540</f>
        <v>30</v>
      </c>
      <c r="L543" s="20"/>
      <c r="M543" s="20"/>
      <c r="N543" s="20"/>
      <c r="O543" s="20"/>
      <c r="P543" s="20"/>
      <c r="Q543" s="27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</row>
    <row r="544" spans="1:34" ht="13" x14ac:dyDescent="0.15">
      <c r="A544" s="68"/>
      <c r="B544" s="24"/>
      <c r="C544" s="68"/>
      <c r="D544" s="20" t="s">
        <v>31</v>
      </c>
      <c r="E544" s="20"/>
      <c r="F544" s="22">
        <v>83.86</v>
      </c>
      <c r="G544" s="72" t="str">
        <f>IF(J544&gt;F545,"Did not breach BE ✅","breached BE")</f>
        <v>Did not breach BE ✅</v>
      </c>
      <c r="H544" s="68"/>
      <c r="I544" s="68"/>
      <c r="J544" s="52">
        <f t="shared" si="6"/>
        <v>82.2</v>
      </c>
      <c r="K544" s="22">
        <f>(J544-F544)*100*C540</f>
        <v>-165.99999999999966</v>
      </c>
      <c r="L544" s="20"/>
      <c r="M544" s="20"/>
      <c r="N544" s="20"/>
      <c r="O544" s="20"/>
      <c r="P544" s="20"/>
      <c r="Q544" s="27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</row>
    <row r="545" spans="1:34" ht="13" x14ac:dyDescent="0.15">
      <c r="A545" s="19"/>
      <c r="B545" s="20"/>
      <c r="C545" s="25" t="s">
        <v>51</v>
      </c>
      <c r="D545" s="25" t="s">
        <v>32</v>
      </c>
      <c r="E545" s="19"/>
      <c r="F545" s="22">
        <f>F544-F540-F541-F542-F543</f>
        <v>76.88000000000001</v>
      </c>
      <c r="G545" s="23">
        <f>(F545-F544)/F544</f>
        <v>-8.3233961364178266E-2</v>
      </c>
      <c r="H545" s="20"/>
      <c r="I545" s="20"/>
      <c r="J545" s="22">
        <f>J544-J541-J540-J542-J543</f>
        <v>81.734999999999999</v>
      </c>
      <c r="K545" s="26">
        <f>(J545-F545)*C540*100</f>
        <v>485.49999999999898</v>
      </c>
      <c r="L545" s="22">
        <f>(J545-F545)*100*C540</f>
        <v>485.49999999999898</v>
      </c>
      <c r="M545" s="23">
        <f>O545/(F544*C540*100)</f>
        <v>5.7736704030526949E-2</v>
      </c>
      <c r="N545" s="20"/>
      <c r="O545" s="22">
        <f>K545-($N$2*2)</f>
        <v>484.17999999999898</v>
      </c>
      <c r="P545" s="20"/>
      <c r="Q545" s="22"/>
      <c r="R545" s="23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</row>
    <row r="546" spans="1:34" ht="13" x14ac:dyDescent="0.15">
      <c r="A546" s="12"/>
      <c r="B546" s="13"/>
      <c r="C546" s="13"/>
      <c r="D546" s="13"/>
      <c r="E546" s="12"/>
      <c r="F546" s="13"/>
      <c r="G546" s="13"/>
      <c r="H546" s="13"/>
      <c r="I546" s="13"/>
      <c r="J546" s="15"/>
      <c r="K546" s="16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 spans="1:34" ht="13" x14ac:dyDescent="0.15">
      <c r="A547" s="83">
        <v>46195</v>
      </c>
      <c r="B547" s="24"/>
      <c r="C547" s="70">
        <v>1</v>
      </c>
      <c r="D547" s="20" t="s">
        <v>146</v>
      </c>
      <c r="E547" s="20">
        <v>4</v>
      </c>
      <c r="F547" s="22">
        <v>9.68</v>
      </c>
      <c r="G547" s="22"/>
      <c r="H547" s="22">
        <v>0.67</v>
      </c>
      <c r="I547" s="23">
        <f>H547/F550</f>
        <v>9.263099682012995E-3</v>
      </c>
      <c r="J547" s="22">
        <v>0</v>
      </c>
      <c r="K547" s="22">
        <f>(F547-J547)*100*C547</f>
        <v>968</v>
      </c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</row>
    <row r="548" spans="1:34" ht="13" x14ac:dyDescent="0.15">
      <c r="A548" s="68"/>
      <c r="B548" s="24"/>
      <c r="C548" s="68"/>
      <c r="D548" s="20"/>
      <c r="E548" s="20"/>
      <c r="F548" s="22"/>
      <c r="G548" s="22"/>
      <c r="H548" s="22"/>
      <c r="I548" s="22"/>
      <c r="J548" s="22"/>
      <c r="K548" s="22">
        <f>(F548-J548)*100*C547</f>
        <v>0</v>
      </c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</row>
    <row r="549" spans="1:34" ht="13" x14ac:dyDescent="0.15">
      <c r="A549" s="68"/>
      <c r="B549" s="24"/>
      <c r="C549" s="68"/>
      <c r="D549" s="20" t="s">
        <v>31</v>
      </c>
      <c r="E549" s="20"/>
      <c r="F549" s="22">
        <v>82.01</v>
      </c>
      <c r="G549" s="72" t="str">
        <f>IF(J549&gt;F550,"Did not breach BE ✅","breached BE")</f>
        <v>Did not breach BE ✅</v>
      </c>
      <c r="H549" s="68"/>
      <c r="I549" s="68"/>
      <c r="J549" s="52">
        <v>74.400000000000006</v>
      </c>
      <c r="K549" s="22">
        <f>(J549-F549)*100*C547</f>
        <v>-761</v>
      </c>
      <c r="L549" s="20"/>
      <c r="M549" s="20"/>
      <c r="N549" s="20"/>
      <c r="O549" s="20"/>
      <c r="P549" s="20"/>
      <c r="Q549" s="27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</row>
    <row r="550" spans="1:34" ht="13" x14ac:dyDescent="0.15">
      <c r="A550" s="19"/>
      <c r="B550" s="20"/>
      <c r="C550" s="25" t="s">
        <v>51</v>
      </c>
      <c r="D550" s="25" t="s">
        <v>32</v>
      </c>
      <c r="E550" s="19"/>
      <c r="F550" s="22">
        <f>F549-F547-F548</f>
        <v>72.330000000000013</v>
      </c>
      <c r="G550" s="23">
        <f>(F550-F549)/F549</f>
        <v>-0.11803438605048155</v>
      </c>
      <c r="H550" s="20"/>
      <c r="I550" s="20"/>
      <c r="J550" s="22">
        <f>J549-J548-J547</f>
        <v>74.400000000000006</v>
      </c>
      <c r="K550" s="26">
        <f>(J550-F550)*C547*100</f>
        <v>206.99999999999932</v>
      </c>
      <c r="L550" s="22">
        <f>(J550-F550)*100*C547</f>
        <v>206.99999999999932</v>
      </c>
      <c r="M550" s="23">
        <f>O550/(F549*C547*100)</f>
        <v>2.5079868308742755E-2</v>
      </c>
      <c r="N550" s="20"/>
      <c r="O550" s="22">
        <f>K550-($N$2*2)</f>
        <v>205.67999999999932</v>
      </c>
      <c r="P550" s="20"/>
      <c r="Q550" s="22"/>
      <c r="R550" s="23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</row>
    <row r="551" spans="1:34" ht="13" x14ac:dyDescent="0.15">
      <c r="A551" s="12"/>
      <c r="B551" s="13"/>
      <c r="C551" s="13"/>
      <c r="D551" s="13"/>
      <c r="E551" s="12"/>
      <c r="F551" s="13"/>
      <c r="G551" s="13"/>
      <c r="H551" s="13"/>
      <c r="I551" s="13"/>
      <c r="J551" s="15"/>
      <c r="K551" s="16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 spans="1:34" ht="13" x14ac:dyDescent="0.15">
      <c r="A552" s="83">
        <v>46196</v>
      </c>
      <c r="B552" s="24"/>
      <c r="C552" s="70">
        <v>4</v>
      </c>
      <c r="D552" s="20" t="s">
        <v>147</v>
      </c>
      <c r="E552" s="20">
        <v>4</v>
      </c>
      <c r="F552" s="22">
        <v>10.09</v>
      </c>
      <c r="G552" s="22"/>
      <c r="H552" s="22">
        <v>0.67</v>
      </c>
      <c r="I552" s="23">
        <f>H552/F555</f>
        <v>1.0177730518000912E-2</v>
      </c>
      <c r="J552" s="22">
        <f>J554-F554+F552-H552</f>
        <v>5.3299999999999965</v>
      </c>
      <c r="K552" s="22">
        <f>(F552-J552)*100*C552</f>
        <v>1904.0000000000014</v>
      </c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</row>
    <row r="553" spans="1:34" ht="13" x14ac:dyDescent="0.15">
      <c r="A553" s="68"/>
      <c r="B553" s="24"/>
      <c r="C553" s="68"/>
      <c r="D553" s="20"/>
      <c r="E553" s="20"/>
      <c r="F553" s="22"/>
      <c r="G553" s="22"/>
      <c r="H553" s="22"/>
      <c r="I553" s="22"/>
      <c r="J553" s="22"/>
      <c r="K553" s="22">
        <f>(F553-J553)*100*C552</f>
        <v>0</v>
      </c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</row>
    <row r="554" spans="1:34" ht="13" x14ac:dyDescent="0.15">
      <c r="A554" s="68"/>
      <c r="B554" s="24"/>
      <c r="C554" s="68"/>
      <c r="D554" s="20" t="s">
        <v>31</v>
      </c>
      <c r="E554" s="20"/>
      <c r="F554" s="22">
        <v>75.92</v>
      </c>
      <c r="G554" s="72" t="str">
        <f>IF(J554&gt;F555,"Did not breach BE ✅","breached BE")</f>
        <v>Did not breach BE ✅</v>
      </c>
      <c r="H554" s="68"/>
      <c r="I554" s="68"/>
      <c r="J554" s="52">
        <v>71.83</v>
      </c>
      <c r="K554" s="22">
        <f>(J554-F554)*100*C552</f>
        <v>-1636.0000000000014</v>
      </c>
      <c r="L554" s="20"/>
      <c r="M554" s="20"/>
      <c r="N554" s="20"/>
      <c r="O554" s="20"/>
      <c r="P554" s="20"/>
      <c r="Q554" s="27">
        <v>46174</v>
      </c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</row>
    <row r="555" spans="1:34" ht="13" x14ac:dyDescent="0.15">
      <c r="A555" s="19"/>
      <c r="B555" s="20"/>
      <c r="C555" s="25" t="s">
        <v>51</v>
      </c>
      <c r="D555" s="25" t="s">
        <v>32</v>
      </c>
      <c r="E555" s="19"/>
      <c r="F555" s="22">
        <f>F554-F552-F553</f>
        <v>65.83</v>
      </c>
      <c r="G555" s="23">
        <f>(F555-F554)/F554</f>
        <v>-0.13290305584826137</v>
      </c>
      <c r="H555" s="20"/>
      <c r="I555" s="20"/>
      <c r="J555" s="22">
        <f>J554-J553-J552</f>
        <v>66.5</v>
      </c>
      <c r="K555" s="26">
        <f>(J555-F555)*C552*100</f>
        <v>268.00000000000068</v>
      </c>
      <c r="L555" s="22">
        <f>(J555-F555)*100*C552</f>
        <v>268.00000000000068</v>
      </c>
      <c r="M555" s="23">
        <f>O555/(F554*C552*100)</f>
        <v>8.7816122233930673E-3</v>
      </c>
      <c r="N555" s="20"/>
      <c r="O555" s="22">
        <f>K555-($N$2*2)</f>
        <v>266.68000000000069</v>
      </c>
      <c r="P555" s="20"/>
      <c r="Q555" s="22">
        <f>SUM(O530:O556)</f>
        <v>2572.8999999999933</v>
      </c>
      <c r="R555" s="23">
        <f>Q555/$B$1</f>
        <v>7.351142857142838E-2</v>
      </c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</row>
    <row r="556" spans="1:34" ht="13" x14ac:dyDescent="0.15">
      <c r="A556" s="12"/>
      <c r="B556" s="13"/>
      <c r="C556" s="13"/>
      <c r="D556" s="13"/>
      <c r="E556" s="12"/>
      <c r="F556" s="13"/>
      <c r="G556" s="13"/>
      <c r="H556" s="13"/>
      <c r="I556" s="13"/>
      <c r="J556" s="15"/>
      <c r="K556" s="16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 spans="1:34" ht="13" x14ac:dyDescent="0.15">
      <c r="A557" s="13" t="s">
        <v>39</v>
      </c>
      <c r="B557" s="13"/>
      <c r="C557" s="13"/>
      <c r="D557" s="13"/>
      <c r="E557" s="12"/>
      <c r="F557" s="13"/>
      <c r="G557" s="13"/>
      <c r="H557" s="13"/>
      <c r="I557" s="13"/>
      <c r="J557" s="15"/>
      <c r="K557" s="16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 spans="1:34" ht="13" x14ac:dyDescent="0.15">
      <c r="A558" s="83">
        <v>46210</v>
      </c>
      <c r="B558" s="24"/>
      <c r="C558" s="70">
        <v>2</v>
      </c>
      <c r="D558" s="20" t="s">
        <v>148</v>
      </c>
      <c r="E558" s="20">
        <v>3</v>
      </c>
      <c r="F558" s="22">
        <v>7.16</v>
      </c>
      <c r="G558" s="22"/>
      <c r="H558" s="22">
        <v>0.56000000000000005</v>
      </c>
      <c r="I558" s="23">
        <f>H558/F561</f>
        <v>8.5574572127139377E-3</v>
      </c>
      <c r="J558" s="22">
        <f>J560-F560+F558-H558</f>
        <v>11.030000000000006</v>
      </c>
      <c r="K558" s="22">
        <f>(F558-J558)*100*C558</f>
        <v>-774.00000000000125</v>
      </c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</row>
    <row r="559" spans="1:34" ht="13" x14ac:dyDescent="0.15">
      <c r="A559" s="68"/>
      <c r="B559" s="24"/>
      <c r="C559" s="68"/>
      <c r="D559" s="20"/>
      <c r="E559" s="20"/>
      <c r="F559" s="22"/>
      <c r="G559" s="22"/>
      <c r="H559" s="22"/>
      <c r="I559" s="22"/>
      <c r="J559" s="22"/>
      <c r="K559" s="22">
        <f>(F559-J559)*100*C558</f>
        <v>0</v>
      </c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</row>
    <row r="560" spans="1:34" ht="13" x14ac:dyDescent="0.15">
      <c r="A560" s="68"/>
      <c r="B560" s="24"/>
      <c r="C560" s="68"/>
      <c r="D560" s="20" t="s">
        <v>31</v>
      </c>
      <c r="E560" s="20"/>
      <c r="F560" s="22">
        <v>72.599999999999994</v>
      </c>
      <c r="G560" s="72" t="str">
        <f>IF(J560&gt;F561,"Did not breach BE ✅","breached BE")</f>
        <v>Did not breach BE ✅</v>
      </c>
      <c r="H560" s="68"/>
      <c r="I560" s="68"/>
      <c r="J560" s="52">
        <v>77.03</v>
      </c>
      <c r="K560" s="22">
        <f>(J560-F560)*100*C558</f>
        <v>886.00000000000136</v>
      </c>
      <c r="L560" s="20"/>
      <c r="M560" s="20"/>
      <c r="N560" s="20"/>
      <c r="O560" s="20"/>
      <c r="P560" s="20"/>
      <c r="Q560" s="27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</row>
    <row r="561" spans="1:34" ht="13" x14ac:dyDescent="0.15">
      <c r="A561" s="19"/>
      <c r="B561" s="20"/>
      <c r="C561" s="25" t="s">
        <v>51</v>
      </c>
      <c r="D561" s="25" t="s">
        <v>32</v>
      </c>
      <c r="E561" s="19"/>
      <c r="F561" s="22">
        <f>F560-F558-F559</f>
        <v>65.44</v>
      </c>
      <c r="G561" s="23">
        <f>(F561-F560)/F560</f>
        <v>-9.8622589531680405E-2</v>
      </c>
      <c r="H561" s="20"/>
      <c r="I561" s="20"/>
      <c r="J561" s="22">
        <f>J560-J559-J558</f>
        <v>66</v>
      </c>
      <c r="K561" s="26">
        <f>(J561-F561)*C558*100</f>
        <v>112.00000000000045</v>
      </c>
      <c r="L561" s="22">
        <f>(J561-F561)*100*C558</f>
        <v>112.00000000000045</v>
      </c>
      <c r="M561" s="23">
        <f>O561/(F560*C558*100)</f>
        <v>7.6225895316804739E-3</v>
      </c>
      <c r="N561" s="20"/>
      <c r="O561" s="22">
        <f>K561-($N$2*2)</f>
        <v>110.68000000000046</v>
      </c>
      <c r="P561" s="20"/>
      <c r="Q561" s="22"/>
      <c r="R561" s="23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</row>
    <row r="562" spans="1:34" ht="16.5" customHeight="1" x14ac:dyDescent="0.15">
      <c r="A562" s="12"/>
      <c r="B562" s="13"/>
      <c r="C562" s="13"/>
      <c r="D562" s="13"/>
      <c r="E562" s="12"/>
      <c r="F562" s="13"/>
      <c r="G562" s="13"/>
      <c r="H562" s="13"/>
      <c r="I562" s="13"/>
      <c r="J562" s="15"/>
      <c r="K562" s="16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 spans="1:34" ht="13" x14ac:dyDescent="0.15">
      <c r="A563" s="83">
        <v>46210</v>
      </c>
      <c r="B563" s="24"/>
      <c r="C563" s="70">
        <v>1</v>
      </c>
      <c r="D563" s="20" t="s">
        <v>149</v>
      </c>
      <c r="E563" s="20">
        <v>3</v>
      </c>
      <c r="F563" s="22">
        <v>6.84</v>
      </c>
      <c r="G563" s="22"/>
      <c r="H563" s="22">
        <v>0.67</v>
      </c>
      <c r="I563" s="23">
        <f>H563/F566</f>
        <v>1.0415047411782995E-2</v>
      </c>
      <c r="J563" s="22">
        <f>J565-F565+F563-H563</f>
        <v>12.03</v>
      </c>
      <c r="K563" s="22">
        <f>(F563-J563)*100*C563</f>
        <v>-519</v>
      </c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</row>
    <row r="564" spans="1:34" ht="13" x14ac:dyDescent="0.15">
      <c r="A564" s="68"/>
      <c r="B564" s="24"/>
      <c r="C564" s="68"/>
      <c r="D564" s="20"/>
      <c r="E564" s="20"/>
      <c r="F564" s="22"/>
      <c r="G564" s="22"/>
      <c r="H564" s="22"/>
      <c r="I564" s="22"/>
      <c r="J564" s="22"/>
      <c r="K564" s="22">
        <f>(F564-J564)*100*C563</f>
        <v>0</v>
      </c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</row>
    <row r="565" spans="1:34" ht="13" x14ac:dyDescent="0.15">
      <c r="A565" s="68"/>
      <c r="B565" s="24"/>
      <c r="C565" s="68"/>
      <c r="D565" s="20" t="s">
        <v>31</v>
      </c>
      <c r="E565" s="20"/>
      <c r="F565" s="22">
        <v>71.17</v>
      </c>
      <c r="G565" s="72" t="str">
        <f>IF(J565&gt;F566,"Did not breach BE ✅","breached BE")</f>
        <v>Did not breach BE ✅</v>
      </c>
      <c r="H565" s="68"/>
      <c r="I565" s="68"/>
      <c r="J565" s="52">
        <f>J560</f>
        <v>77.03</v>
      </c>
      <c r="K565" s="22">
        <f>(J565-F565)*100*C563</f>
        <v>586</v>
      </c>
      <c r="L565" s="20"/>
      <c r="M565" s="20"/>
      <c r="N565" s="20"/>
      <c r="O565" s="20"/>
      <c r="P565" s="20"/>
      <c r="Q565" s="27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</row>
    <row r="566" spans="1:34" ht="13" x14ac:dyDescent="0.15">
      <c r="A566" s="19"/>
      <c r="B566" s="20"/>
      <c r="C566" s="25" t="s">
        <v>51</v>
      </c>
      <c r="D566" s="25" t="s">
        <v>32</v>
      </c>
      <c r="E566" s="19"/>
      <c r="F566" s="22">
        <f>F565-F563-F564</f>
        <v>64.33</v>
      </c>
      <c r="G566" s="23">
        <f>(F566-F565)/F565</f>
        <v>-9.6107910636504187E-2</v>
      </c>
      <c r="H566" s="20"/>
      <c r="I566" s="20"/>
      <c r="J566" s="22">
        <f>J565-J564-J563</f>
        <v>65</v>
      </c>
      <c r="K566" s="26">
        <f>(J566-F566)*C563*100</f>
        <v>67.000000000000171</v>
      </c>
      <c r="L566" s="22">
        <f>(J566-F566)*100*C563</f>
        <v>67.000000000000171</v>
      </c>
      <c r="M566" s="23">
        <f>O566/(F565*C563*100)</f>
        <v>9.2286075593649257E-3</v>
      </c>
      <c r="N566" s="20"/>
      <c r="O566" s="22">
        <f>K566-($N$2*2)</f>
        <v>65.680000000000177</v>
      </c>
      <c r="P566" s="20"/>
      <c r="Q566" s="22"/>
      <c r="R566" s="23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</row>
    <row r="567" spans="1:34" ht="13" x14ac:dyDescent="0.15">
      <c r="A567" s="12"/>
      <c r="B567" s="13"/>
      <c r="C567" s="13"/>
      <c r="D567" s="13"/>
      <c r="E567" s="12"/>
      <c r="F567" s="13"/>
      <c r="G567" s="13"/>
      <c r="H567" s="13"/>
      <c r="I567" s="13"/>
      <c r="J567" s="15"/>
      <c r="K567" s="16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 spans="1:34" ht="13" x14ac:dyDescent="0.15">
      <c r="A568" s="83">
        <v>46210</v>
      </c>
      <c r="B568" s="24"/>
      <c r="C568" s="70">
        <v>1</v>
      </c>
      <c r="D568" s="20" t="s">
        <v>149</v>
      </c>
      <c r="E568" s="20">
        <v>2</v>
      </c>
      <c r="F568" s="22">
        <v>8.65</v>
      </c>
      <c r="G568" s="22"/>
      <c r="H568" s="22">
        <v>0.42</v>
      </c>
      <c r="I568" s="23">
        <f>H568/F571</f>
        <v>6.8203962325430328E-3</v>
      </c>
      <c r="J568" s="22">
        <f>J570-F570+F568-H568</f>
        <v>15.029999999999998</v>
      </c>
      <c r="K568" s="22">
        <f>(F568-J568)*100*C568</f>
        <v>-637.99999999999977</v>
      </c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</row>
    <row r="569" spans="1:34" ht="13" x14ac:dyDescent="0.15">
      <c r="A569" s="68"/>
      <c r="B569" s="24"/>
      <c r="C569" s="68"/>
      <c r="D569" s="20"/>
      <c r="E569" s="20"/>
      <c r="F569" s="22"/>
      <c r="G569" s="22"/>
      <c r="H569" s="22"/>
      <c r="I569" s="22"/>
      <c r="J569" s="22"/>
      <c r="K569" s="22">
        <f>(F569-J569)*100*C568</f>
        <v>0</v>
      </c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</row>
    <row r="570" spans="1:34" ht="13" x14ac:dyDescent="0.15">
      <c r="A570" s="68"/>
      <c r="B570" s="24"/>
      <c r="C570" s="68"/>
      <c r="D570" s="20" t="s">
        <v>31</v>
      </c>
      <c r="E570" s="20"/>
      <c r="F570" s="22">
        <v>70.23</v>
      </c>
      <c r="G570" s="72" t="str">
        <f>IF(J570&gt;F571,"Did not breach BE ✅","breached BE")</f>
        <v>Did not breach BE ✅</v>
      </c>
      <c r="H570" s="68"/>
      <c r="I570" s="68"/>
      <c r="J570" s="52">
        <f>J560</f>
        <v>77.03</v>
      </c>
      <c r="K570" s="22">
        <f>(J570-F570)*100*C568</f>
        <v>679.99999999999977</v>
      </c>
      <c r="L570" s="20"/>
      <c r="M570" s="20"/>
      <c r="N570" s="20"/>
      <c r="O570" s="20"/>
      <c r="P570" s="20"/>
      <c r="Q570" s="27">
        <v>46204</v>
      </c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</row>
    <row r="571" spans="1:34" ht="13" x14ac:dyDescent="0.15">
      <c r="A571" s="19"/>
      <c r="B571" s="20"/>
      <c r="C571" s="25" t="s">
        <v>51</v>
      </c>
      <c r="D571" s="25" t="s">
        <v>32</v>
      </c>
      <c r="E571" s="19"/>
      <c r="F571" s="22">
        <f>F570-F568-F569</f>
        <v>61.580000000000005</v>
      </c>
      <c r="G571" s="23">
        <f>(F571-F570)/F570</f>
        <v>-0.1231667378613128</v>
      </c>
      <c r="H571" s="20"/>
      <c r="I571" s="20"/>
      <c r="J571" s="22">
        <f>J570-J569-J568</f>
        <v>62</v>
      </c>
      <c r="K571" s="26">
        <f>(J571-F571)*C568*100</f>
        <v>41.99999999999946</v>
      </c>
      <c r="L571" s="22">
        <f>(J571-F571)*100*C568</f>
        <v>41.99999999999946</v>
      </c>
      <c r="M571" s="23">
        <f>O571/(F570*C568*100)</f>
        <v>5.7923964117897568E-3</v>
      </c>
      <c r="N571" s="20"/>
      <c r="O571" s="22">
        <f>K571-($N$2*2)</f>
        <v>40.67999999999946</v>
      </c>
      <c r="P571" s="20"/>
      <c r="Q571" s="22">
        <f>SUM(O561:O572)</f>
        <v>217.04000000000011</v>
      </c>
      <c r="R571" s="23">
        <f>Q571/$B$1</f>
        <v>6.2011428571428599E-3</v>
      </c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</row>
    <row r="572" spans="1:34" ht="13" x14ac:dyDescent="0.15">
      <c r="A572" s="12"/>
      <c r="B572" s="13"/>
      <c r="C572" s="13"/>
      <c r="D572" s="13"/>
      <c r="E572" s="12"/>
      <c r="F572" s="13"/>
      <c r="G572" s="13"/>
      <c r="H572" s="13"/>
      <c r="I572" s="13"/>
      <c r="J572" s="15"/>
      <c r="K572" s="16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 spans="1:34" ht="13" x14ac:dyDescent="0.15">
      <c r="A573" s="12"/>
      <c r="B573" s="13"/>
      <c r="C573" s="13"/>
      <c r="D573" s="13"/>
      <c r="E573" s="12"/>
      <c r="F573" s="13"/>
      <c r="G573" s="13"/>
      <c r="H573" s="13"/>
      <c r="I573" s="13"/>
      <c r="J573" s="15"/>
      <c r="K573" s="16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 spans="1:34" ht="13" x14ac:dyDescent="0.15">
      <c r="A574" s="12"/>
      <c r="B574" s="13"/>
      <c r="C574" s="13"/>
      <c r="D574" s="13"/>
      <c r="E574" s="12"/>
      <c r="F574" s="13"/>
      <c r="G574" s="13"/>
      <c r="H574" s="13"/>
      <c r="I574" s="13"/>
      <c r="J574" s="15"/>
      <c r="K574" s="16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 spans="1:34" ht="13" x14ac:dyDescent="0.15">
      <c r="A575" s="12"/>
      <c r="B575" s="13"/>
      <c r="C575" s="13"/>
      <c r="D575" s="13"/>
      <c r="E575" s="12"/>
      <c r="F575" s="13"/>
      <c r="G575" s="13"/>
      <c r="H575" s="13"/>
      <c r="I575" s="13"/>
      <c r="J575" s="15"/>
      <c r="K575" s="16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 spans="1:34" ht="13" x14ac:dyDescent="0.15">
      <c r="A576" s="12"/>
      <c r="B576" s="13"/>
      <c r="C576" s="13"/>
      <c r="D576" s="13"/>
      <c r="E576" s="12"/>
      <c r="F576" s="13"/>
      <c r="G576" s="13"/>
      <c r="H576" s="13"/>
      <c r="I576" s="13"/>
      <c r="J576" s="15"/>
      <c r="K576" s="16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 spans="1:34" ht="13" x14ac:dyDescent="0.15">
      <c r="A577" s="12"/>
      <c r="B577" s="13"/>
      <c r="C577" s="13"/>
      <c r="D577" s="13"/>
      <c r="E577" s="12"/>
      <c r="F577" s="13"/>
      <c r="G577" s="13"/>
      <c r="H577" s="13"/>
      <c r="I577" s="13"/>
      <c r="J577" s="15"/>
      <c r="K577" s="16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 spans="1:34" ht="13" x14ac:dyDescent="0.15">
      <c r="A578" s="12"/>
      <c r="B578" s="13"/>
      <c r="C578" s="13"/>
      <c r="D578" s="13"/>
      <c r="E578" s="12"/>
      <c r="F578" s="13"/>
      <c r="G578" s="13"/>
      <c r="H578" s="13"/>
      <c r="I578" s="13"/>
      <c r="J578" s="15"/>
      <c r="K578" s="16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 spans="1:34" ht="13" x14ac:dyDescent="0.15">
      <c r="A579" s="12"/>
      <c r="B579" s="13"/>
      <c r="C579" s="13"/>
      <c r="D579" s="13"/>
      <c r="E579" s="12"/>
      <c r="F579" s="13"/>
      <c r="G579" s="13"/>
      <c r="H579" s="13"/>
      <c r="I579" s="13"/>
      <c r="J579" s="15"/>
      <c r="K579" s="16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 spans="1:34" ht="13" x14ac:dyDescent="0.15">
      <c r="A580" s="12"/>
      <c r="B580" s="13"/>
      <c r="C580" s="13"/>
      <c r="D580" s="13"/>
      <c r="E580" s="12"/>
      <c r="F580" s="13"/>
      <c r="G580" s="13"/>
      <c r="H580" s="13"/>
      <c r="I580" s="13"/>
      <c r="J580" s="15"/>
      <c r="K580" s="16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 spans="1:34" ht="13" x14ac:dyDescent="0.15">
      <c r="A581" s="12"/>
      <c r="B581" s="13"/>
      <c r="C581" s="13"/>
      <c r="D581" s="13"/>
      <c r="E581" s="12"/>
      <c r="F581" s="13"/>
      <c r="G581" s="13"/>
      <c r="H581" s="13"/>
      <c r="I581" s="13"/>
      <c r="J581" s="15"/>
      <c r="K581" s="16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 spans="1:34" ht="13" x14ac:dyDescent="0.15">
      <c r="A582" s="12"/>
      <c r="B582" s="13"/>
      <c r="C582" s="13"/>
      <c r="D582" s="13"/>
      <c r="E582" s="12"/>
      <c r="F582" s="13"/>
      <c r="G582" s="13"/>
      <c r="H582" s="13"/>
      <c r="I582" s="13"/>
      <c r="J582" s="15"/>
      <c r="K582" s="16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 spans="1:34" ht="13" x14ac:dyDescent="0.15">
      <c r="A583" s="12"/>
      <c r="B583" s="13"/>
      <c r="C583" s="13"/>
      <c r="D583" s="13"/>
      <c r="E583" s="12"/>
      <c r="F583" s="13"/>
      <c r="G583" s="13"/>
      <c r="H583" s="13"/>
      <c r="I583" s="13"/>
      <c r="J583" s="15"/>
      <c r="K583" s="16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 spans="1:34" ht="13" x14ac:dyDescent="0.15">
      <c r="A584" s="12"/>
      <c r="B584" s="13"/>
      <c r="C584" s="13"/>
      <c r="D584" s="13"/>
      <c r="E584" s="12"/>
      <c r="F584" s="13"/>
      <c r="G584" s="13"/>
      <c r="H584" s="13"/>
      <c r="I584" s="13"/>
      <c r="J584" s="15"/>
      <c r="K584" s="16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 spans="1:34" ht="13" x14ac:dyDescent="0.15">
      <c r="A585" s="12"/>
      <c r="B585" s="13"/>
      <c r="C585" s="13"/>
      <c r="D585" s="13"/>
      <c r="E585" s="12"/>
      <c r="F585" s="13"/>
      <c r="G585" s="13"/>
      <c r="H585" s="13"/>
      <c r="I585" s="13"/>
      <c r="J585" s="15"/>
      <c r="K585" s="16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 spans="1:34" ht="13" x14ac:dyDescent="0.15">
      <c r="A586" s="12"/>
      <c r="B586" s="13"/>
      <c r="C586" s="13"/>
      <c r="D586" s="13"/>
      <c r="E586" s="12"/>
      <c r="F586" s="13"/>
      <c r="G586" s="13"/>
      <c r="H586" s="13"/>
      <c r="I586" s="13"/>
      <c r="J586" s="15"/>
      <c r="K586" s="16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 spans="1:34" ht="13" x14ac:dyDescent="0.15">
      <c r="A587" s="12"/>
      <c r="B587" s="13"/>
      <c r="C587" s="13"/>
      <c r="D587" s="13"/>
      <c r="E587" s="12"/>
      <c r="F587" s="13"/>
      <c r="G587" s="13"/>
      <c r="H587" s="13"/>
      <c r="I587" s="13"/>
      <c r="J587" s="15"/>
      <c r="K587" s="16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 spans="1:34" ht="13" x14ac:dyDescent="0.15">
      <c r="A588" s="12"/>
      <c r="B588" s="13"/>
      <c r="C588" s="13"/>
      <c r="D588" s="13"/>
      <c r="E588" s="12"/>
      <c r="F588" s="13"/>
      <c r="G588" s="13"/>
      <c r="H588" s="13"/>
      <c r="I588" s="13"/>
      <c r="J588" s="15"/>
      <c r="K588" s="16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 spans="1:34" ht="13" x14ac:dyDescent="0.15">
      <c r="A589" s="12"/>
      <c r="B589" s="13"/>
      <c r="C589" s="13"/>
      <c r="D589" s="13"/>
      <c r="E589" s="12"/>
      <c r="F589" s="13"/>
      <c r="G589" s="13"/>
      <c r="H589" s="13"/>
      <c r="I589" s="13"/>
      <c r="J589" s="15"/>
      <c r="K589" s="16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 spans="1:34" ht="13" x14ac:dyDescent="0.15">
      <c r="A590" s="12"/>
      <c r="B590" s="13"/>
      <c r="C590" s="13"/>
      <c r="D590" s="13"/>
      <c r="E590" s="12"/>
      <c r="F590" s="13"/>
      <c r="G590" s="13"/>
      <c r="H590" s="13"/>
      <c r="I590" s="13"/>
      <c r="J590" s="15"/>
      <c r="K590" s="16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 spans="1:34" ht="13" x14ac:dyDescent="0.15">
      <c r="A591" s="12"/>
      <c r="B591" s="13"/>
      <c r="C591" s="13"/>
      <c r="D591" s="13"/>
      <c r="E591" s="12"/>
      <c r="F591" s="13"/>
      <c r="G591" s="13"/>
      <c r="H591" s="13"/>
      <c r="I591" s="13"/>
      <c r="J591" s="15"/>
      <c r="K591" s="16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 spans="1:34" ht="13" x14ac:dyDescent="0.15">
      <c r="A592" s="12"/>
      <c r="B592" s="13"/>
      <c r="C592" s="13"/>
      <c r="D592" s="13"/>
      <c r="E592" s="12"/>
      <c r="F592" s="13"/>
      <c r="G592" s="13"/>
      <c r="H592" s="13"/>
      <c r="I592" s="13"/>
      <c r="J592" s="15"/>
      <c r="K592" s="16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 spans="1:34" ht="13" x14ac:dyDescent="0.15">
      <c r="A593" s="12"/>
      <c r="B593" s="13"/>
      <c r="C593" s="13"/>
      <c r="D593" s="13"/>
      <c r="E593" s="12"/>
      <c r="F593" s="13"/>
      <c r="G593" s="13"/>
      <c r="H593" s="13"/>
      <c r="I593" s="13"/>
      <c r="J593" s="15"/>
      <c r="K593" s="16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 spans="1:34" ht="13" x14ac:dyDescent="0.15">
      <c r="A594" s="12"/>
      <c r="B594" s="13"/>
      <c r="C594" s="13"/>
      <c r="D594" s="13"/>
      <c r="E594" s="12"/>
      <c r="F594" s="13"/>
      <c r="G594" s="13"/>
      <c r="H594" s="13"/>
      <c r="I594" s="13"/>
      <c r="J594" s="15"/>
      <c r="K594" s="16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 spans="1:34" ht="13" x14ac:dyDescent="0.15">
      <c r="A595" s="12"/>
      <c r="B595" s="13"/>
      <c r="C595" s="13"/>
      <c r="D595" s="13"/>
      <c r="E595" s="12"/>
      <c r="F595" s="13"/>
      <c r="G595" s="13"/>
      <c r="H595" s="13"/>
      <c r="I595" s="13"/>
      <c r="J595" s="15"/>
      <c r="K595" s="16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 spans="1:34" ht="13" x14ac:dyDescent="0.15">
      <c r="A596" s="12"/>
      <c r="B596" s="13"/>
      <c r="C596" s="13"/>
      <c r="D596" s="13"/>
      <c r="E596" s="12"/>
      <c r="F596" s="13"/>
      <c r="G596" s="13"/>
      <c r="H596" s="13"/>
      <c r="I596" s="13"/>
      <c r="J596" s="15"/>
      <c r="K596" s="16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 spans="1:34" ht="13" x14ac:dyDescent="0.15">
      <c r="A597" s="12"/>
      <c r="B597" s="13"/>
      <c r="C597" s="13"/>
      <c r="D597" s="13"/>
      <c r="E597" s="12"/>
      <c r="F597" s="13"/>
      <c r="G597" s="13"/>
      <c r="H597" s="13"/>
      <c r="I597" s="13"/>
      <c r="J597" s="15"/>
      <c r="K597" s="16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 spans="1:34" ht="13" x14ac:dyDescent="0.15">
      <c r="A598" s="12"/>
      <c r="B598" s="13"/>
      <c r="C598" s="13"/>
      <c r="D598" s="13"/>
      <c r="E598" s="12"/>
      <c r="F598" s="13"/>
      <c r="G598" s="13"/>
      <c r="H598" s="13"/>
      <c r="I598" s="13"/>
      <c r="J598" s="15"/>
      <c r="K598" s="16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 spans="1:34" ht="13" x14ac:dyDescent="0.15">
      <c r="A599" s="12"/>
      <c r="B599" s="13"/>
      <c r="C599" s="13"/>
      <c r="D599" s="13"/>
      <c r="E599" s="12"/>
      <c r="F599" s="13"/>
      <c r="G599" s="13"/>
      <c r="H599" s="13"/>
      <c r="I599" s="13"/>
      <c r="J599" s="15"/>
      <c r="K599" s="16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 spans="1:34" ht="13" x14ac:dyDescent="0.15">
      <c r="A600" s="12"/>
      <c r="B600" s="13"/>
      <c r="C600" s="13"/>
      <c r="D600" s="13"/>
      <c r="E600" s="12"/>
      <c r="F600" s="13"/>
      <c r="G600" s="13"/>
      <c r="H600" s="13"/>
      <c r="I600" s="13"/>
      <c r="J600" s="15"/>
      <c r="K600" s="16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 spans="1:34" ht="13" x14ac:dyDescent="0.15">
      <c r="A601" s="12"/>
      <c r="B601" s="13"/>
      <c r="C601" s="13"/>
      <c r="D601" s="13"/>
      <c r="E601" s="12"/>
      <c r="F601" s="13"/>
      <c r="G601" s="13"/>
      <c r="H601" s="13"/>
      <c r="I601" s="13"/>
      <c r="J601" s="15"/>
      <c r="K601" s="16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 spans="1:34" ht="13" x14ac:dyDescent="0.15">
      <c r="A602" s="12"/>
      <c r="B602" s="13"/>
      <c r="C602" s="13"/>
      <c r="D602" s="13"/>
      <c r="E602" s="12"/>
      <c r="F602" s="13"/>
      <c r="G602" s="13"/>
      <c r="H602" s="13"/>
      <c r="I602" s="13"/>
      <c r="J602" s="15"/>
      <c r="K602" s="16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 spans="1:34" ht="13" x14ac:dyDescent="0.15">
      <c r="A603" s="12"/>
      <c r="B603" s="13"/>
      <c r="C603" s="13"/>
      <c r="D603" s="13"/>
      <c r="E603" s="12"/>
      <c r="F603" s="13"/>
      <c r="G603" s="13"/>
      <c r="H603" s="13"/>
      <c r="I603" s="13"/>
      <c r="J603" s="15"/>
      <c r="K603" s="16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 spans="1:34" ht="13" x14ac:dyDescent="0.15">
      <c r="A604" s="12"/>
      <c r="B604" s="13"/>
      <c r="C604" s="13"/>
      <c r="D604" s="13"/>
      <c r="E604" s="12"/>
      <c r="F604" s="13"/>
      <c r="G604" s="13"/>
      <c r="H604" s="13"/>
      <c r="I604" s="13"/>
      <c r="J604" s="15"/>
      <c r="K604" s="16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 spans="1:34" ht="13" x14ac:dyDescent="0.15">
      <c r="A605" s="12"/>
      <c r="B605" s="13"/>
      <c r="C605" s="13"/>
      <c r="D605" s="13"/>
      <c r="E605" s="12"/>
      <c r="F605" s="13"/>
      <c r="G605" s="13"/>
      <c r="H605" s="13"/>
      <c r="I605" s="13"/>
      <c r="J605" s="15"/>
      <c r="K605" s="16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 spans="1:34" ht="13" x14ac:dyDescent="0.15">
      <c r="A606" s="12"/>
      <c r="B606" s="13"/>
      <c r="C606" s="13"/>
      <c r="D606" s="13"/>
      <c r="E606" s="12"/>
      <c r="F606" s="13"/>
      <c r="G606" s="13"/>
      <c r="H606" s="13"/>
      <c r="I606" s="13"/>
      <c r="J606" s="15"/>
      <c r="K606" s="16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 spans="1:34" ht="13" x14ac:dyDescent="0.15">
      <c r="A607" s="12"/>
      <c r="B607" s="13"/>
      <c r="C607" s="13"/>
      <c r="D607" s="13"/>
      <c r="E607" s="12"/>
      <c r="F607" s="13"/>
      <c r="G607" s="13"/>
      <c r="H607" s="13"/>
      <c r="I607" s="13"/>
      <c r="J607" s="15"/>
      <c r="K607" s="16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 spans="1:34" ht="13" x14ac:dyDescent="0.15">
      <c r="A608" s="12"/>
      <c r="B608" s="13"/>
      <c r="C608" s="13"/>
      <c r="D608" s="13"/>
      <c r="E608" s="12"/>
      <c r="F608" s="13"/>
      <c r="G608" s="13"/>
      <c r="H608" s="13"/>
      <c r="I608" s="13"/>
      <c r="J608" s="15"/>
      <c r="K608" s="16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 spans="1:34" ht="13" x14ac:dyDescent="0.15">
      <c r="A609" s="12"/>
      <c r="B609" s="13"/>
      <c r="C609" s="13"/>
      <c r="D609" s="13"/>
      <c r="E609" s="12"/>
      <c r="F609" s="13"/>
      <c r="G609" s="13"/>
      <c r="H609" s="13"/>
      <c r="I609" s="13"/>
      <c r="J609" s="15"/>
      <c r="K609" s="16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 spans="1:34" ht="13" x14ac:dyDescent="0.15">
      <c r="A610" s="12"/>
      <c r="B610" s="13"/>
      <c r="C610" s="13"/>
      <c r="D610" s="13"/>
      <c r="E610" s="12"/>
      <c r="F610" s="13"/>
      <c r="G610" s="13"/>
      <c r="H610" s="13"/>
      <c r="I610" s="13"/>
      <c r="J610" s="15"/>
      <c r="K610" s="16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 spans="1:34" ht="13" x14ac:dyDescent="0.15">
      <c r="A611" s="12"/>
      <c r="B611" s="13"/>
      <c r="C611" s="13"/>
      <c r="D611" s="13"/>
      <c r="E611" s="12"/>
      <c r="F611" s="13"/>
      <c r="G611" s="13"/>
      <c r="H611" s="13"/>
      <c r="I611" s="13"/>
      <c r="J611" s="15"/>
      <c r="K611" s="16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 spans="1:34" ht="13" x14ac:dyDescent="0.15">
      <c r="A612" s="12"/>
      <c r="B612" s="13"/>
      <c r="C612" s="13"/>
      <c r="D612" s="13"/>
      <c r="E612" s="12"/>
      <c r="F612" s="13"/>
      <c r="G612" s="13"/>
      <c r="H612" s="13"/>
      <c r="I612" s="13"/>
      <c r="J612" s="15"/>
      <c r="K612" s="16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 spans="1:34" ht="13" x14ac:dyDescent="0.15">
      <c r="A613" s="12"/>
      <c r="B613" s="13"/>
      <c r="C613" s="13"/>
      <c r="D613" s="13"/>
      <c r="E613" s="12"/>
      <c r="F613" s="13"/>
      <c r="G613" s="13"/>
      <c r="H613" s="13"/>
      <c r="I613" s="13"/>
      <c r="J613" s="15"/>
      <c r="K613" s="16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 spans="1:34" ht="13" x14ac:dyDescent="0.15">
      <c r="A614" s="12"/>
      <c r="B614" s="13"/>
      <c r="C614" s="13"/>
      <c r="D614" s="13"/>
      <c r="E614" s="12"/>
      <c r="F614" s="13"/>
      <c r="G614" s="13"/>
      <c r="H614" s="13"/>
      <c r="I614" s="13"/>
      <c r="J614" s="15"/>
      <c r="K614" s="16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 spans="1:34" ht="13" x14ac:dyDescent="0.15">
      <c r="A615" s="12"/>
      <c r="B615" s="13"/>
      <c r="C615" s="13"/>
      <c r="D615" s="13"/>
      <c r="E615" s="12"/>
      <c r="F615" s="13"/>
      <c r="G615" s="13"/>
      <c r="H615" s="13"/>
      <c r="I615" s="13"/>
      <c r="J615" s="15"/>
      <c r="K615" s="16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 spans="1:34" ht="13" x14ac:dyDescent="0.15">
      <c r="A616" s="12"/>
      <c r="B616" s="13"/>
      <c r="C616" s="13"/>
      <c r="D616" s="13"/>
      <c r="E616" s="12"/>
      <c r="F616" s="13"/>
      <c r="G616" s="13"/>
      <c r="H616" s="13"/>
      <c r="I616" s="13"/>
      <c r="J616" s="15"/>
      <c r="K616" s="16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 spans="1:34" ht="13" x14ac:dyDescent="0.15">
      <c r="A617" s="12"/>
      <c r="B617" s="13"/>
      <c r="C617" s="13"/>
      <c r="D617" s="13"/>
      <c r="E617" s="12"/>
      <c r="F617" s="13"/>
      <c r="G617" s="13"/>
      <c r="H617" s="13"/>
      <c r="I617" s="13"/>
      <c r="J617" s="15"/>
      <c r="K617" s="16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 spans="1:34" ht="13" x14ac:dyDescent="0.15">
      <c r="A618" s="12"/>
      <c r="B618" s="13"/>
      <c r="C618" s="13"/>
      <c r="D618" s="13"/>
      <c r="E618" s="12"/>
      <c r="F618" s="13"/>
      <c r="G618" s="13"/>
      <c r="H618" s="13"/>
      <c r="I618" s="13"/>
      <c r="J618" s="15"/>
      <c r="K618" s="16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 spans="1:34" ht="13" x14ac:dyDescent="0.15">
      <c r="A619" s="12"/>
      <c r="B619" s="13"/>
      <c r="C619" s="13"/>
      <c r="D619" s="13"/>
      <c r="E619" s="12"/>
      <c r="F619" s="13"/>
      <c r="G619" s="13"/>
      <c r="H619" s="13"/>
      <c r="I619" s="13"/>
      <c r="J619" s="15"/>
      <c r="K619" s="16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 spans="1:34" ht="13" x14ac:dyDescent="0.15">
      <c r="A620" s="12"/>
      <c r="B620" s="13"/>
      <c r="C620" s="13"/>
      <c r="D620" s="13"/>
      <c r="E620" s="12"/>
      <c r="F620" s="13"/>
      <c r="G620" s="13"/>
      <c r="H620" s="13"/>
      <c r="I620" s="13"/>
      <c r="J620" s="15"/>
      <c r="K620" s="16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 spans="1:34" ht="13" x14ac:dyDescent="0.15">
      <c r="A621" s="12"/>
      <c r="B621" s="13"/>
      <c r="C621" s="13"/>
      <c r="D621" s="13"/>
      <c r="E621" s="12"/>
      <c r="F621" s="13"/>
      <c r="G621" s="13"/>
      <c r="H621" s="13"/>
      <c r="I621" s="13"/>
      <c r="J621" s="15"/>
      <c r="K621" s="16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 spans="1:34" ht="13" x14ac:dyDescent="0.15">
      <c r="A622" s="12"/>
      <c r="B622" s="13"/>
      <c r="C622" s="13"/>
      <c r="D622" s="13"/>
      <c r="E622" s="12"/>
      <c r="F622" s="13"/>
      <c r="G622" s="13"/>
      <c r="H622" s="13"/>
      <c r="I622" s="13"/>
      <c r="J622" s="15"/>
      <c r="K622" s="16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 spans="1:34" ht="13" x14ac:dyDescent="0.15">
      <c r="A623" s="12"/>
      <c r="B623" s="13"/>
      <c r="C623" s="13"/>
      <c r="D623" s="13"/>
      <c r="E623" s="12"/>
      <c r="F623" s="13"/>
      <c r="G623" s="13"/>
      <c r="H623" s="13"/>
      <c r="I623" s="13"/>
      <c r="J623" s="15"/>
      <c r="K623" s="16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 spans="1:34" ht="13" x14ac:dyDescent="0.15">
      <c r="A624" s="12"/>
      <c r="B624" s="13"/>
      <c r="C624" s="13"/>
      <c r="D624" s="13"/>
      <c r="E624" s="12"/>
      <c r="F624" s="13"/>
      <c r="G624" s="13"/>
      <c r="H624" s="13"/>
      <c r="I624" s="13"/>
      <c r="J624" s="15"/>
      <c r="K624" s="16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 spans="1:34" ht="13" x14ac:dyDescent="0.15">
      <c r="A625" s="12"/>
      <c r="B625" s="13"/>
      <c r="C625" s="13"/>
      <c r="D625" s="13"/>
      <c r="E625" s="12"/>
      <c r="F625" s="13"/>
      <c r="G625" s="13"/>
      <c r="H625" s="13"/>
      <c r="I625" s="13"/>
      <c r="J625" s="15"/>
      <c r="K625" s="16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 spans="1:34" ht="13" x14ac:dyDescent="0.15">
      <c r="A626" s="12"/>
      <c r="B626" s="13"/>
      <c r="C626" s="13"/>
      <c r="D626" s="13"/>
      <c r="E626" s="12"/>
      <c r="F626" s="13"/>
      <c r="G626" s="13"/>
      <c r="H626" s="13"/>
      <c r="I626" s="13"/>
      <c r="J626" s="15"/>
      <c r="K626" s="16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 spans="1:34" ht="13" x14ac:dyDescent="0.15">
      <c r="A627" s="12"/>
      <c r="B627" s="13"/>
      <c r="C627" s="13"/>
      <c r="D627" s="13"/>
      <c r="E627" s="12"/>
      <c r="F627" s="13"/>
      <c r="G627" s="13"/>
      <c r="H627" s="13"/>
      <c r="I627" s="13"/>
      <c r="J627" s="15"/>
      <c r="K627" s="16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 spans="1:34" ht="13" x14ac:dyDescent="0.15">
      <c r="A628" s="12"/>
      <c r="B628" s="13"/>
      <c r="C628" s="13"/>
      <c r="D628" s="13"/>
      <c r="E628" s="12"/>
      <c r="F628" s="13"/>
      <c r="G628" s="13"/>
      <c r="H628" s="13"/>
      <c r="I628" s="13"/>
      <c r="J628" s="15"/>
      <c r="K628" s="16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 spans="1:34" ht="13" x14ac:dyDescent="0.15">
      <c r="A629" s="12"/>
      <c r="B629" s="13"/>
      <c r="C629" s="13"/>
      <c r="D629" s="13"/>
      <c r="E629" s="12"/>
      <c r="F629" s="13"/>
      <c r="G629" s="13"/>
      <c r="H629" s="13"/>
      <c r="I629" s="13"/>
      <c r="J629" s="15"/>
      <c r="K629" s="16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 spans="1:34" ht="13" x14ac:dyDescent="0.15">
      <c r="A630" s="12"/>
      <c r="B630" s="13"/>
      <c r="C630" s="13"/>
      <c r="D630" s="13"/>
      <c r="E630" s="12"/>
      <c r="F630" s="13"/>
      <c r="G630" s="13"/>
      <c r="H630" s="13"/>
      <c r="I630" s="13"/>
      <c r="J630" s="15"/>
      <c r="K630" s="16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 spans="1:34" ht="13" x14ac:dyDescent="0.15">
      <c r="A631" s="12"/>
      <c r="B631" s="13"/>
      <c r="C631" s="13"/>
      <c r="D631" s="13"/>
      <c r="E631" s="12"/>
      <c r="F631" s="13"/>
      <c r="G631" s="13"/>
      <c r="H631" s="13"/>
      <c r="I631" s="13"/>
      <c r="J631" s="15"/>
      <c r="K631" s="16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 spans="1:34" ht="13" x14ac:dyDescent="0.15">
      <c r="A632" s="12"/>
      <c r="B632" s="13"/>
      <c r="C632" s="13"/>
      <c r="D632" s="13"/>
      <c r="E632" s="12"/>
      <c r="F632" s="13"/>
      <c r="G632" s="13"/>
      <c r="H632" s="13"/>
      <c r="I632" s="13"/>
      <c r="J632" s="15"/>
      <c r="K632" s="16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 spans="1:34" ht="13" x14ac:dyDescent="0.15">
      <c r="A633" s="12"/>
      <c r="B633" s="13"/>
      <c r="C633" s="13"/>
      <c r="D633" s="13"/>
      <c r="E633" s="12"/>
      <c r="F633" s="13"/>
      <c r="G633" s="13"/>
      <c r="H633" s="13"/>
      <c r="I633" s="13"/>
      <c r="J633" s="15"/>
      <c r="K633" s="16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 spans="1:34" ht="13" x14ac:dyDescent="0.15">
      <c r="A634" s="12"/>
      <c r="B634" s="13"/>
      <c r="C634" s="13"/>
      <c r="D634" s="13"/>
      <c r="E634" s="12"/>
      <c r="F634" s="13"/>
      <c r="G634" s="13"/>
      <c r="H634" s="13"/>
      <c r="I634" s="13"/>
      <c r="J634" s="15"/>
      <c r="K634" s="16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 spans="1:34" ht="13" x14ac:dyDescent="0.15">
      <c r="A635" s="12"/>
      <c r="B635" s="13"/>
      <c r="C635" s="13"/>
      <c r="D635" s="13"/>
      <c r="E635" s="12"/>
      <c r="F635" s="13"/>
      <c r="G635" s="13"/>
      <c r="H635" s="13"/>
      <c r="I635" s="13"/>
      <c r="J635" s="15"/>
      <c r="K635" s="16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 spans="1:34" ht="13" x14ac:dyDescent="0.15">
      <c r="A636" s="12"/>
      <c r="B636" s="13"/>
      <c r="C636" s="13"/>
      <c r="D636" s="13"/>
      <c r="E636" s="12"/>
      <c r="F636" s="13"/>
      <c r="G636" s="13"/>
      <c r="H636" s="13"/>
      <c r="I636" s="13"/>
      <c r="J636" s="15"/>
      <c r="K636" s="16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 spans="1:34" ht="13" x14ac:dyDescent="0.15">
      <c r="A637" s="12"/>
      <c r="B637" s="13"/>
      <c r="C637" s="13"/>
      <c r="D637" s="13"/>
      <c r="E637" s="12"/>
      <c r="F637" s="13"/>
      <c r="G637" s="13"/>
      <c r="H637" s="13"/>
      <c r="I637" s="13"/>
      <c r="J637" s="15"/>
      <c r="K637" s="16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 spans="1:34" ht="13" x14ac:dyDescent="0.15">
      <c r="A638" s="12"/>
      <c r="B638" s="13"/>
      <c r="C638" s="13"/>
      <c r="D638" s="13"/>
      <c r="E638" s="12"/>
      <c r="F638" s="13"/>
      <c r="G638" s="13"/>
      <c r="H638" s="13"/>
      <c r="I638" s="13"/>
      <c r="J638" s="15"/>
      <c r="K638" s="16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 spans="1:34" ht="13" x14ac:dyDescent="0.15">
      <c r="A639" s="12"/>
      <c r="B639" s="13"/>
      <c r="C639" s="13"/>
      <c r="D639" s="13"/>
      <c r="E639" s="12"/>
      <c r="F639" s="13"/>
      <c r="G639" s="13"/>
      <c r="H639" s="13"/>
      <c r="I639" s="13"/>
      <c r="J639" s="15"/>
      <c r="K639" s="16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 spans="1:34" ht="13" x14ac:dyDescent="0.15">
      <c r="A640" s="12"/>
      <c r="B640" s="13"/>
      <c r="C640" s="13"/>
      <c r="D640" s="13"/>
      <c r="E640" s="12"/>
      <c r="F640" s="13"/>
      <c r="G640" s="13"/>
      <c r="H640" s="13"/>
      <c r="I640" s="13"/>
      <c r="J640" s="15"/>
      <c r="K640" s="16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 spans="1:34" ht="13" x14ac:dyDescent="0.15">
      <c r="A641" s="12"/>
      <c r="B641" s="13"/>
      <c r="C641" s="13"/>
      <c r="D641" s="13"/>
      <c r="E641" s="12"/>
      <c r="F641" s="13"/>
      <c r="G641" s="13"/>
      <c r="H641" s="13"/>
      <c r="I641" s="13"/>
      <c r="J641" s="15"/>
      <c r="K641" s="16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 spans="1:34" ht="13" x14ac:dyDescent="0.15">
      <c r="A642" s="12"/>
      <c r="B642" s="13"/>
      <c r="C642" s="13"/>
      <c r="D642" s="13"/>
      <c r="E642" s="12"/>
      <c r="F642" s="13"/>
      <c r="G642" s="13"/>
      <c r="H642" s="13"/>
      <c r="I642" s="13"/>
      <c r="J642" s="15"/>
      <c r="K642" s="16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 spans="1:34" ht="13" x14ac:dyDescent="0.15">
      <c r="A643" s="12"/>
      <c r="B643" s="13"/>
      <c r="C643" s="13"/>
      <c r="D643" s="13"/>
      <c r="E643" s="12"/>
      <c r="F643" s="13"/>
      <c r="G643" s="13"/>
      <c r="H643" s="13"/>
      <c r="I643" s="13"/>
      <c r="J643" s="15"/>
      <c r="K643" s="16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 spans="1:34" ht="13" x14ac:dyDescent="0.15">
      <c r="A644" s="12"/>
      <c r="B644" s="13"/>
      <c r="C644" s="13"/>
      <c r="D644" s="13"/>
      <c r="E644" s="12"/>
      <c r="F644" s="13"/>
      <c r="G644" s="13"/>
      <c r="H644" s="13"/>
      <c r="I644" s="13"/>
      <c r="J644" s="15"/>
      <c r="K644" s="16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 spans="1:34" ht="13" x14ac:dyDescent="0.15">
      <c r="A645" s="12"/>
      <c r="B645" s="13"/>
      <c r="C645" s="13"/>
      <c r="D645" s="13"/>
      <c r="E645" s="12"/>
      <c r="F645" s="13"/>
      <c r="G645" s="13"/>
      <c r="H645" s="13"/>
      <c r="I645" s="13"/>
      <c r="J645" s="15"/>
      <c r="K645" s="16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 spans="1:34" ht="13" x14ac:dyDescent="0.15">
      <c r="A646" s="12"/>
      <c r="B646" s="13"/>
      <c r="C646" s="13"/>
      <c r="D646" s="13"/>
      <c r="E646" s="12"/>
      <c r="F646" s="13"/>
      <c r="G646" s="13"/>
      <c r="H646" s="13"/>
      <c r="I646" s="13"/>
      <c r="J646" s="15"/>
      <c r="K646" s="16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 spans="1:34" ht="13" x14ac:dyDescent="0.15">
      <c r="A647" s="12"/>
      <c r="B647" s="13"/>
      <c r="C647" s="13"/>
      <c r="D647" s="13"/>
      <c r="E647" s="12"/>
      <c r="F647" s="13"/>
      <c r="G647" s="13"/>
      <c r="H647" s="13"/>
      <c r="I647" s="13"/>
      <c r="J647" s="15"/>
      <c r="K647" s="16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 spans="1:34" ht="13" x14ac:dyDescent="0.15">
      <c r="A648" s="12"/>
      <c r="B648" s="13"/>
      <c r="C648" s="13"/>
      <c r="D648" s="13"/>
      <c r="E648" s="12"/>
      <c r="F648" s="13"/>
      <c r="G648" s="13"/>
      <c r="H648" s="13"/>
      <c r="I648" s="13"/>
      <c r="J648" s="15"/>
      <c r="K648" s="16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 spans="1:34" ht="13" x14ac:dyDescent="0.15">
      <c r="A649" s="12"/>
      <c r="B649" s="13"/>
      <c r="C649" s="13"/>
      <c r="D649" s="13"/>
      <c r="E649" s="12"/>
      <c r="F649" s="13"/>
      <c r="G649" s="13"/>
      <c r="H649" s="13"/>
      <c r="I649" s="13"/>
      <c r="J649" s="15"/>
      <c r="K649" s="16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 spans="1:34" ht="13" x14ac:dyDescent="0.15">
      <c r="A650" s="12"/>
      <c r="B650" s="13"/>
      <c r="C650" s="13"/>
      <c r="D650" s="13"/>
      <c r="E650" s="12"/>
      <c r="F650" s="13"/>
      <c r="G650" s="13"/>
      <c r="H650" s="13"/>
      <c r="I650" s="13"/>
      <c r="J650" s="15"/>
      <c r="K650" s="16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 spans="1:34" ht="13" x14ac:dyDescent="0.15">
      <c r="A651" s="12"/>
      <c r="B651" s="13"/>
      <c r="C651" s="13"/>
      <c r="D651" s="13"/>
      <c r="E651" s="12"/>
      <c r="F651" s="13"/>
      <c r="G651" s="13"/>
      <c r="H651" s="13"/>
      <c r="I651" s="13"/>
      <c r="J651" s="15"/>
      <c r="K651" s="16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 spans="1:34" ht="13" x14ac:dyDescent="0.15">
      <c r="A652" s="12"/>
      <c r="B652" s="13"/>
      <c r="C652" s="13"/>
      <c r="D652" s="13"/>
      <c r="E652" s="12"/>
      <c r="F652" s="13"/>
      <c r="G652" s="13"/>
      <c r="H652" s="13"/>
      <c r="I652" s="13"/>
      <c r="J652" s="15"/>
      <c r="K652" s="16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 spans="1:34" ht="13" x14ac:dyDescent="0.15">
      <c r="A653" s="12"/>
      <c r="B653" s="13"/>
      <c r="C653" s="13"/>
      <c r="D653" s="13"/>
      <c r="E653" s="12"/>
      <c r="F653" s="13"/>
      <c r="G653" s="13"/>
      <c r="H653" s="13"/>
      <c r="I653" s="13"/>
      <c r="J653" s="15"/>
      <c r="K653" s="16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 spans="1:34" ht="13" x14ac:dyDescent="0.15">
      <c r="A654" s="12"/>
      <c r="B654" s="13"/>
      <c r="C654" s="13"/>
      <c r="D654" s="13"/>
      <c r="E654" s="12"/>
      <c r="F654" s="13"/>
      <c r="G654" s="13"/>
      <c r="H654" s="13"/>
      <c r="I654" s="13"/>
      <c r="J654" s="15"/>
      <c r="K654" s="16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 spans="1:34" ht="13" x14ac:dyDescent="0.15">
      <c r="A655" s="12"/>
      <c r="B655" s="13"/>
      <c r="C655" s="13"/>
      <c r="D655" s="13"/>
      <c r="E655" s="12"/>
      <c r="F655" s="13"/>
      <c r="G655" s="13"/>
      <c r="H655" s="13"/>
      <c r="I655" s="13"/>
      <c r="J655" s="15"/>
      <c r="K655" s="16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 spans="1:34" ht="13" x14ac:dyDescent="0.15">
      <c r="A656" s="12"/>
      <c r="B656" s="13"/>
      <c r="C656" s="13"/>
      <c r="D656" s="13"/>
      <c r="E656" s="12"/>
      <c r="F656" s="13"/>
      <c r="G656" s="13"/>
      <c r="H656" s="13"/>
      <c r="I656" s="13"/>
      <c r="J656" s="15"/>
      <c r="K656" s="16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 spans="1:34" ht="13" x14ac:dyDescent="0.15">
      <c r="A657" s="12"/>
      <c r="B657" s="13"/>
      <c r="C657" s="13"/>
      <c r="D657" s="13"/>
      <c r="E657" s="12"/>
      <c r="F657" s="13"/>
      <c r="G657" s="13"/>
      <c r="H657" s="13"/>
      <c r="I657" s="13"/>
      <c r="J657" s="15"/>
      <c r="K657" s="16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 spans="1:34" ht="13" x14ac:dyDescent="0.15">
      <c r="A658" s="12"/>
      <c r="B658" s="13"/>
      <c r="C658" s="13"/>
      <c r="D658" s="13"/>
      <c r="E658" s="12"/>
      <c r="F658" s="13"/>
      <c r="G658" s="13"/>
      <c r="H658" s="13"/>
      <c r="I658" s="13"/>
      <c r="J658" s="15"/>
      <c r="K658" s="16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 spans="1:34" ht="13" x14ac:dyDescent="0.15">
      <c r="A659" s="12"/>
      <c r="B659" s="13"/>
      <c r="C659" s="13"/>
      <c r="D659" s="13"/>
      <c r="E659" s="12"/>
      <c r="F659" s="13"/>
      <c r="G659" s="13"/>
      <c r="H659" s="13"/>
      <c r="I659" s="13"/>
      <c r="J659" s="15"/>
      <c r="K659" s="16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 spans="1:34" ht="13" x14ac:dyDescent="0.15">
      <c r="A660" s="12"/>
      <c r="B660" s="13"/>
      <c r="C660" s="13"/>
      <c r="D660" s="13"/>
      <c r="E660" s="12"/>
      <c r="F660" s="13"/>
      <c r="G660" s="13"/>
      <c r="H660" s="13"/>
      <c r="I660" s="13"/>
      <c r="J660" s="15"/>
      <c r="K660" s="16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 spans="1:34" ht="13" x14ac:dyDescent="0.15">
      <c r="A661" s="12"/>
      <c r="B661" s="13"/>
      <c r="C661" s="13"/>
      <c r="D661" s="13"/>
      <c r="E661" s="12"/>
      <c r="F661" s="13"/>
      <c r="G661" s="13"/>
      <c r="H661" s="13"/>
      <c r="I661" s="13"/>
      <c r="J661" s="15"/>
      <c r="K661" s="16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 spans="1:34" ht="13" x14ac:dyDescent="0.15">
      <c r="A662" s="12"/>
      <c r="B662" s="13"/>
      <c r="C662" s="13"/>
      <c r="D662" s="13"/>
      <c r="E662" s="12"/>
      <c r="F662" s="13"/>
      <c r="G662" s="13"/>
      <c r="H662" s="13"/>
      <c r="I662" s="13"/>
      <c r="J662" s="15"/>
      <c r="K662" s="16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 spans="1:34" ht="13" x14ac:dyDescent="0.15">
      <c r="A663" s="12"/>
      <c r="B663" s="13"/>
      <c r="C663" s="13"/>
      <c r="D663" s="13"/>
      <c r="E663" s="12"/>
      <c r="F663" s="13"/>
      <c r="G663" s="13"/>
      <c r="H663" s="13"/>
      <c r="I663" s="13"/>
      <c r="J663" s="15"/>
      <c r="K663" s="16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 spans="1:34" ht="13" x14ac:dyDescent="0.15">
      <c r="A664" s="12"/>
      <c r="B664" s="13"/>
      <c r="C664" s="13"/>
      <c r="D664" s="13"/>
      <c r="E664" s="12"/>
      <c r="F664" s="13"/>
      <c r="G664" s="13"/>
      <c r="H664" s="13"/>
      <c r="I664" s="13"/>
      <c r="J664" s="15"/>
      <c r="K664" s="16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 spans="1:34" ht="13" x14ac:dyDescent="0.15">
      <c r="A665" s="12"/>
      <c r="B665" s="13"/>
      <c r="C665" s="13"/>
      <c r="D665" s="13"/>
      <c r="E665" s="12"/>
      <c r="F665" s="13"/>
      <c r="G665" s="13"/>
      <c r="H665" s="13"/>
      <c r="I665" s="13"/>
      <c r="J665" s="15"/>
      <c r="K665" s="16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 spans="1:34" ht="13" x14ac:dyDescent="0.15">
      <c r="A666" s="12"/>
      <c r="B666" s="13"/>
      <c r="C666" s="13"/>
      <c r="D666" s="13"/>
      <c r="E666" s="12"/>
      <c r="F666" s="13"/>
      <c r="G666" s="13"/>
      <c r="H666" s="13"/>
      <c r="I666" s="13"/>
      <c r="J666" s="15"/>
      <c r="K666" s="16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 spans="1:34" ht="13" x14ac:dyDescent="0.15">
      <c r="A667" s="12"/>
      <c r="B667" s="13"/>
      <c r="C667" s="13"/>
      <c r="D667" s="13"/>
      <c r="E667" s="12"/>
      <c r="F667" s="13"/>
      <c r="G667" s="13"/>
      <c r="H667" s="13"/>
      <c r="I667" s="13"/>
      <c r="J667" s="15"/>
      <c r="K667" s="16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 spans="1:34" ht="13" x14ac:dyDescent="0.15">
      <c r="A668" s="12"/>
      <c r="B668" s="13"/>
      <c r="C668" s="13"/>
      <c r="D668" s="13"/>
      <c r="E668" s="12"/>
      <c r="F668" s="13"/>
      <c r="G668" s="13"/>
      <c r="H668" s="13"/>
      <c r="I668" s="13"/>
      <c r="J668" s="15"/>
      <c r="K668" s="16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 spans="1:34" ht="13" x14ac:dyDescent="0.15">
      <c r="A669" s="12"/>
      <c r="B669" s="13"/>
      <c r="C669" s="13"/>
      <c r="D669" s="13"/>
      <c r="E669" s="12"/>
      <c r="F669" s="13"/>
      <c r="G669" s="13"/>
      <c r="H669" s="13"/>
      <c r="I669" s="13"/>
      <c r="J669" s="15"/>
      <c r="K669" s="16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 spans="1:34" ht="13" x14ac:dyDescent="0.15">
      <c r="A670" s="12"/>
      <c r="B670" s="13"/>
      <c r="C670" s="13"/>
      <c r="D670" s="13"/>
      <c r="E670" s="12"/>
      <c r="F670" s="13"/>
      <c r="G670" s="13"/>
      <c r="H670" s="13"/>
      <c r="I670" s="13"/>
      <c r="J670" s="15"/>
      <c r="K670" s="16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 spans="1:34" ht="13" x14ac:dyDescent="0.15">
      <c r="A671" s="12"/>
      <c r="B671" s="13"/>
      <c r="C671" s="13"/>
      <c r="D671" s="13"/>
      <c r="E671" s="12"/>
      <c r="F671" s="13"/>
      <c r="G671" s="13"/>
      <c r="H671" s="13"/>
      <c r="I671" s="13"/>
      <c r="J671" s="15"/>
      <c r="K671" s="16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 spans="1:34" ht="13" x14ac:dyDescent="0.15">
      <c r="A672" s="12"/>
      <c r="B672" s="13"/>
      <c r="C672" s="13"/>
      <c r="D672" s="13"/>
      <c r="E672" s="12"/>
      <c r="F672" s="13"/>
      <c r="G672" s="13"/>
      <c r="H672" s="13"/>
      <c r="I672" s="13"/>
      <c r="J672" s="15"/>
      <c r="K672" s="16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 spans="1:34" ht="13" x14ac:dyDescent="0.15">
      <c r="A673" s="12"/>
      <c r="B673" s="13"/>
      <c r="C673" s="13"/>
      <c r="D673" s="13"/>
      <c r="E673" s="12"/>
      <c r="F673" s="13"/>
      <c r="G673" s="13"/>
      <c r="H673" s="13"/>
      <c r="I673" s="13"/>
      <c r="J673" s="15"/>
      <c r="K673" s="16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 spans="1:34" ht="13" x14ac:dyDescent="0.15">
      <c r="A674" s="12"/>
      <c r="B674" s="13"/>
      <c r="C674" s="13"/>
      <c r="D674" s="13"/>
      <c r="E674" s="12"/>
      <c r="F674" s="13"/>
      <c r="G674" s="13"/>
      <c r="H674" s="13"/>
      <c r="I674" s="13"/>
      <c r="J674" s="15"/>
      <c r="K674" s="16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 spans="1:34" ht="13" x14ac:dyDescent="0.15">
      <c r="A675" s="12"/>
      <c r="B675" s="13"/>
      <c r="C675" s="13"/>
      <c r="D675" s="13"/>
      <c r="E675" s="12"/>
      <c r="F675" s="13"/>
      <c r="G675" s="13"/>
      <c r="H675" s="13"/>
      <c r="I675" s="13"/>
      <c r="J675" s="15"/>
      <c r="K675" s="16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 spans="1:34" ht="13" x14ac:dyDescent="0.15">
      <c r="A676" s="12"/>
      <c r="B676" s="13"/>
      <c r="C676" s="13"/>
      <c r="D676" s="13"/>
      <c r="E676" s="12"/>
      <c r="F676" s="13"/>
      <c r="G676" s="13"/>
      <c r="H676" s="13"/>
      <c r="I676" s="13"/>
      <c r="J676" s="15"/>
      <c r="K676" s="16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 spans="1:34" ht="13" x14ac:dyDescent="0.15">
      <c r="A677" s="12"/>
      <c r="B677" s="13"/>
      <c r="C677" s="13"/>
      <c r="D677" s="13"/>
      <c r="E677" s="12"/>
      <c r="F677" s="13"/>
      <c r="G677" s="13"/>
      <c r="H677" s="13"/>
      <c r="I677" s="13"/>
      <c r="J677" s="15"/>
      <c r="K677" s="16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 spans="1:34" ht="13" x14ac:dyDescent="0.15">
      <c r="A678" s="12"/>
      <c r="B678" s="13"/>
      <c r="C678" s="13"/>
      <c r="D678" s="13"/>
      <c r="E678" s="12"/>
      <c r="F678" s="13"/>
      <c r="G678" s="13"/>
      <c r="H678" s="13"/>
      <c r="I678" s="13"/>
      <c r="J678" s="15"/>
      <c r="K678" s="16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 spans="1:34" ht="13" x14ac:dyDescent="0.15">
      <c r="A679" s="12"/>
      <c r="B679" s="13"/>
      <c r="C679" s="13"/>
      <c r="D679" s="13"/>
      <c r="E679" s="12"/>
      <c r="F679" s="13"/>
      <c r="G679" s="13"/>
      <c r="H679" s="13"/>
      <c r="I679" s="13"/>
      <c r="J679" s="15"/>
      <c r="K679" s="16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 spans="1:34" ht="13" x14ac:dyDescent="0.15">
      <c r="A680" s="12"/>
      <c r="B680" s="13"/>
      <c r="C680" s="13"/>
      <c r="D680" s="13"/>
      <c r="E680" s="12"/>
      <c r="F680" s="13"/>
      <c r="G680" s="13"/>
      <c r="H680" s="13"/>
      <c r="I680" s="13"/>
      <c r="J680" s="15"/>
      <c r="K680" s="16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 spans="1:34" ht="13" x14ac:dyDescent="0.15">
      <c r="A681" s="12"/>
      <c r="B681" s="13"/>
      <c r="C681" s="13"/>
      <c r="D681" s="13"/>
      <c r="E681" s="12"/>
      <c r="F681" s="13"/>
      <c r="G681" s="13"/>
      <c r="H681" s="13"/>
      <c r="I681" s="13"/>
      <c r="J681" s="15"/>
      <c r="K681" s="16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 spans="1:34" ht="13" x14ac:dyDescent="0.15">
      <c r="A682" s="12"/>
      <c r="B682" s="13"/>
      <c r="C682" s="13"/>
      <c r="D682" s="13"/>
      <c r="E682" s="12"/>
      <c r="F682" s="13"/>
      <c r="G682" s="13"/>
      <c r="H682" s="13"/>
      <c r="I682" s="13"/>
      <c r="J682" s="15"/>
      <c r="K682" s="16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 spans="1:34" ht="13" x14ac:dyDescent="0.15">
      <c r="A683" s="12"/>
      <c r="B683" s="13"/>
      <c r="C683" s="13"/>
      <c r="D683" s="13"/>
      <c r="E683" s="12"/>
      <c r="F683" s="13"/>
      <c r="G683" s="13"/>
      <c r="H683" s="13"/>
      <c r="I683" s="13"/>
      <c r="J683" s="15"/>
      <c r="K683" s="16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 spans="1:34" ht="13" x14ac:dyDescent="0.15">
      <c r="A684" s="12"/>
      <c r="B684" s="13"/>
      <c r="C684" s="13"/>
      <c r="D684" s="13"/>
      <c r="E684" s="12"/>
      <c r="F684" s="13"/>
      <c r="G684" s="13"/>
      <c r="H684" s="13"/>
      <c r="I684" s="13"/>
      <c r="J684" s="15"/>
      <c r="K684" s="16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 spans="1:34" ht="13" x14ac:dyDescent="0.15">
      <c r="A685" s="12"/>
      <c r="B685" s="13"/>
      <c r="C685" s="13"/>
      <c r="D685" s="13"/>
      <c r="E685" s="12"/>
      <c r="F685" s="13"/>
      <c r="G685" s="13"/>
      <c r="H685" s="13"/>
      <c r="I685" s="13"/>
      <c r="J685" s="15"/>
      <c r="K685" s="16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 spans="1:34" ht="13" x14ac:dyDescent="0.15">
      <c r="A686" s="12"/>
      <c r="B686" s="13"/>
      <c r="C686" s="13"/>
      <c r="D686" s="13"/>
      <c r="E686" s="12"/>
      <c r="F686" s="13"/>
      <c r="G686" s="13"/>
      <c r="H686" s="13"/>
      <c r="I686" s="13"/>
      <c r="J686" s="15"/>
      <c r="K686" s="16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 spans="1:34" ht="13" x14ac:dyDescent="0.15">
      <c r="A687" s="12"/>
      <c r="B687" s="13"/>
      <c r="C687" s="13"/>
      <c r="D687" s="13"/>
      <c r="E687" s="12"/>
      <c r="F687" s="13"/>
      <c r="G687" s="13"/>
      <c r="H687" s="13"/>
      <c r="I687" s="13"/>
      <c r="J687" s="15"/>
      <c r="K687" s="16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 spans="1:34" ht="13" x14ac:dyDescent="0.15">
      <c r="A688" s="12"/>
      <c r="B688" s="13"/>
      <c r="C688" s="13"/>
      <c r="D688" s="13"/>
      <c r="E688" s="12"/>
      <c r="F688" s="13"/>
      <c r="G688" s="13"/>
      <c r="H688" s="13"/>
      <c r="I688" s="13"/>
      <c r="J688" s="15"/>
      <c r="K688" s="16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 spans="1:34" ht="13" x14ac:dyDescent="0.15">
      <c r="A689" s="12"/>
      <c r="B689" s="13"/>
      <c r="C689" s="13"/>
      <c r="D689" s="13"/>
      <c r="E689" s="12"/>
      <c r="F689" s="13"/>
      <c r="G689" s="13"/>
      <c r="H689" s="13"/>
      <c r="I689" s="13"/>
      <c r="J689" s="15"/>
      <c r="K689" s="16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 spans="1:34" ht="13" x14ac:dyDescent="0.15">
      <c r="A690" s="12"/>
      <c r="B690" s="13"/>
      <c r="C690" s="13"/>
      <c r="D690" s="13"/>
      <c r="E690" s="12"/>
      <c r="F690" s="13"/>
      <c r="G690" s="13"/>
      <c r="H690" s="13"/>
      <c r="I690" s="13"/>
      <c r="J690" s="15"/>
      <c r="K690" s="16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 spans="1:34" ht="13" x14ac:dyDescent="0.15">
      <c r="A691" s="12"/>
      <c r="B691" s="13"/>
      <c r="C691" s="13"/>
      <c r="D691" s="13"/>
      <c r="E691" s="12"/>
      <c r="F691" s="13"/>
      <c r="G691" s="13"/>
      <c r="H691" s="13"/>
      <c r="I691" s="13"/>
      <c r="J691" s="15"/>
      <c r="K691" s="16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 spans="1:34" ht="13" x14ac:dyDescent="0.15">
      <c r="A692" s="12"/>
      <c r="B692" s="13"/>
      <c r="C692" s="13"/>
      <c r="D692" s="13"/>
      <c r="E692" s="12"/>
      <c r="F692" s="13"/>
      <c r="G692" s="13"/>
      <c r="H692" s="13"/>
      <c r="I692" s="13"/>
      <c r="J692" s="15"/>
      <c r="K692" s="16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 spans="1:34" ht="13" x14ac:dyDescent="0.15">
      <c r="A693" s="12"/>
      <c r="B693" s="13"/>
      <c r="C693" s="13"/>
      <c r="D693" s="13"/>
      <c r="E693" s="12"/>
      <c r="F693" s="13"/>
      <c r="G693" s="13"/>
      <c r="H693" s="13"/>
      <c r="I693" s="13"/>
      <c r="J693" s="15"/>
      <c r="K693" s="16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 spans="1:34" ht="13" x14ac:dyDescent="0.15">
      <c r="A694" s="12"/>
      <c r="B694" s="13"/>
      <c r="C694" s="13"/>
      <c r="D694" s="13"/>
      <c r="E694" s="12"/>
      <c r="F694" s="13"/>
      <c r="G694" s="13"/>
      <c r="H694" s="13"/>
      <c r="I694" s="13"/>
      <c r="J694" s="15"/>
      <c r="K694" s="16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 spans="1:34" ht="13" x14ac:dyDescent="0.15">
      <c r="A695" s="12"/>
      <c r="B695" s="13"/>
      <c r="C695" s="13"/>
      <c r="D695" s="13"/>
      <c r="E695" s="12"/>
      <c r="F695" s="13"/>
      <c r="G695" s="13"/>
      <c r="H695" s="13"/>
      <c r="I695" s="13"/>
      <c r="J695" s="15"/>
      <c r="K695" s="16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 spans="1:34" ht="13" x14ac:dyDescent="0.15">
      <c r="A696" s="12"/>
      <c r="B696" s="13"/>
      <c r="C696" s="13"/>
      <c r="D696" s="13"/>
      <c r="E696" s="12"/>
      <c r="F696" s="13"/>
      <c r="G696" s="13"/>
      <c r="H696" s="13"/>
      <c r="I696" s="13"/>
      <c r="J696" s="15"/>
      <c r="K696" s="16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 spans="1:34" ht="13" x14ac:dyDescent="0.15">
      <c r="A697" s="12"/>
      <c r="B697" s="13"/>
      <c r="C697" s="13"/>
      <c r="D697" s="13"/>
      <c r="E697" s="12"/>
      <c r="F697" s="13"/>
      <c r="G697" s="13"/>
      <c r="H697" s="13"/>
      <c r="I697" s="13"/>
      <c r="J697" s="15"/>
      <c r="K697" s="16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 spans="1:34" ht="13" x14ac:dyDescent="0.15">
      <c r="A698" s="12"/>
      <c r="B698" s="13"/>
      <c r="C698" s="13"/>
      <c r="D698" s="13"/>
      <c r="E698" s="12"/>
      <c r="F698" s="13"/>
      <c r="G698" s="13"/>
      <c r="H698" s="13"/>
      <c r="I698" s="13"/>
      <c r="J698" s="15"/>
      <c r="K698" s="16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 spans="1:34" ht="13" x14ac:dyDescent="0.15">
      <c r="A699" s="12"/>
      <c r="B699" s="13"/>
      <c r="C699" s="13"/>
      <c r="D699" s="13"/>
      <c r="E699" s="12"/>
      <c r="F699" s="13"/>
      <c r="G699" s="13"/>
      <c r="H699" s="13"/>
      <c r="I699" s="13"/>
      <c r="J699" s="15"/>
      <c r="K699" s="16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 spans="1:34" ht="13" x14ac:dyDescent="0.15">
      <c r="A700" s="12"/>
      <c r="B700" s="13"/>
      <c r="C700" s="13"/>
      <c r="D700" s="13"/>
      <c r="E700" s="12"/>
      <c r="F700" s="13"/>
      <c r="G700" s="13"/>
      <c r="H700" s="13"/>
      <c r="I700" s="13"/>
      <c r="J700" s="15"/>
      <c r="K700" s="16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 spans="1:34" ht="13" x14ac:dyDescent="0.15">
      <c r="A701" s="12"/>
      <c r="B701" s="13"/>
      <c r="C701" s="13"/>
      <c r="D701" s="13"/>
      <c r="E701" s="12"/>
      <c r="F701" s="13"/>
      <c r="G701" s="13"/>
      <c r="H701" s="13"/>
      <c r="I701" s="13"/>
      <c r="J701" s="15"/>
      <c r="K701" s="16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 spans="1:34" ht="13" x14ac:dyDescent="0.15">
      <c r="A702" s="12"/>
      <c r="B702" s="13"/>
      <c r="C702" s="13"/>
      <c r="D702" s="13"/>
      <c r="E702" s="12"/>
      <c r="F702" s="13"/>
      <c r="G702" s="13"/>
      <c r="H702" s="13"/>
      <c r="I702" s="13"/>
      <c r="J702" s="15"/>
      <c r="K702" s="16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 spans="1:34" ht="13" x14ac:dyDescent="0.15">
      <c r="A703" s="12"/>
      <c r="B703" s="13"/>
      <c r="C703" s="13"/>
      <c r="D703" s="13"/>
      <c r="E703" s="12"/>
      <c r="F703" s="13"/>
      <c r="G703" s="13"/>
      <c r="H703" s="13"/>
      <c r="I703" s="13"/>
      <c r="J703" s="15"/>
      <c r="K703" s="16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 spans="1:34" ht="13" x14ac:dyDescent="0.15">
      <c r="A704" s="12"/>
      <c r="B704" s="13"/>
      <c r="C704" s="13"/>
      <c r="D704" s="13"/>
      <c r="E704" s="12"/>
      <c r="F704" s="13"/>
      <c r="G704" s="13"/>
      <c r="H704" s="13"/>
      <c r="I704" s="13"/>
      <c r="J704" s="15"/>
      <c r="K704" s="16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 spans="1:34" ht="13" x14ac:dyDescent="0.15">
      <c r="A705" s="12"/>
      <c r="B705" s="13"/>
      <c r="C705" s="13"/>
      <c r="D705" s="13"/>
      <c r="E705" s="12"/>
      <c r="F705" s="13"/>
      <c r="G705" s="13"/>
      <c r="H705" s="13"/>
      <c r="I705" s="13"/>
      <c r="J705" s="15"/>
      <c r="K705" s="16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 spans="1:34" ht="13" x14ac:dyDescent="0.15">
      <c r="A706" s="12"/>
      <c r="B706" s="13"/>
      <c r="C706" s="13"/>
      <c r="D706" s="13"/>
      <c r="E706" s="12"/>
      <c r="F706" s="13"/>
      <c r="G706" s="13"/>
      <c r="H706" s="13"/>
      <c r="I706" s="13"/>
      <c r="J706" s="15"/>
      <c r="K706" s="16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 spans="1:34" ht="13" x14ac:dyDescent="0.15">
      <c r="A707" s="12"/>
      <c r="B707" s="13"/>
      <c r="C707" s="13"/>
      <c r="D707" s="13"/>
      <c r="E707" s="12"/>
      <c r="F707" s="13"/>
      <c r="G707" s="13"/>
      <c r="H707" s="13"/>
      <c r="I707" s="13"/>
      <c r="J707" s="15"/>
      <c r="K707" s="16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 spans="1:34" ht="13" x14ac:dyDescent="0.15">
      <c r="A708" s="12"/>
      <c r="B708" s="13"/>
      <c r="C708" s="13"/>
      <c r="D708" s="13"/>
      <c r="E708" s="12"/>
      <c r="F708" s="13"/>
      <c r="G708" s="13"/>
      <c r="H708" s="13"/>
      <c r="I708" s="13"/>
      <c r="J708" s="15"/>
      <c r="K708" s="16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 spans="1:34" ht="13" x14ac:dyDescent="0.15">
      <c r="A709" s="12"/>
      <c r="B709" s="13"/>
      <c r="C709" s="13"/>
      <c r="D709" s="13"/>
      <c r="E709" s="12"/>
      <c r="F709" s="13"/>
      <c r="G709" s="13"/>
      <c r="H709" s="13"/>
      <c r="I709" s="13"/>
      <c r="J709" s="15"/>
      <c r="K709" s="16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 spans="1:34" ht="13" x14ac:dyDescent="0.15">
      <c r="A710" s="12"/>
      <c r="B710" s="13"/>
      <c r="C710" s="13"/>
      <c r="D710" s="13"/>
      <c r="E710" s="12"/>
      <c r="F710" s="13"/>
      <c r="G710" s="13"/>
      <c r="H710" s="13"/>
      <c r="I710" s="13"/>
      <c r="J710" s="15"/>
      <c r="K710" s="16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 spans="1:34" ht="13" x14ac:dyDescent="0.15">
      <c r="A711" s="12"/>
      <c r="B711" s="13"/>
      <c r="C711" s="13"/>
      <c r="D711" s="13"/>
      <c r="E711" s="12"/>
      <c r="F711" s="13"/>
      <c r="G711" s="13"/>
      <c r="H711" s="13"/>
      <c r="I711" s="13"/>
      <c r="J711" s="15"/>
      <c r="K711" s="16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 spans="1:34" ht="13" x14ac:dyDescent="0.15">
      <c r="A712" s="12"/>
      <c r="B712" s="13"/>
      <c r="C712" s="13"/>
      <c r="D712" s="13"/>
      <c r="E712" s="12"/>
      <c r="F712" s="13"/>
      <c r="G712" s="13"/>
      <c r="H712" s="13"/>
      <c r="I712" s="13"/>
      <c r="J712" s="15"/>
      <c r="K712" s="16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 spans="1:34" ht="13" x14ac:dyDescent="0.15">
      <c r="A713" s="12"/>
      <c r="B713" s="13"/>
      <c r="C713" s="13"/>
      <c r="D713" s="13"/>
      <c r="E713" s="12"/>
      <c r="F713" s="13"/>
      <c r="G713" s="13"/>
      <c r="H713" s="13"/>
      <c r="I713" s="13"/>
      <c r="J713" s="15"/>
      <c r="K713" s="16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 spans="1:34" ht="13" x14ac:dyDescent="0.15">
      <c r="A714" s="12"/>
      <c r="B714" s="13"/>
      <c r="C714" s="13"/>
      <c r="D714" s="13"/>
      <c r="E714" s="12"/>
      <c r="F714" s="13"/>
      <c r="G714" s="13"/>
      <c r="H714" s="13"/>
      <c r="I714" s="13"/>
      <c r="J714" s="15"/>
      <c r="K714" s="16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 spans="1:34" ht="13" x14ac:dyDescent="0.15">
      <c r="A715" s="12"/>
      <c r="B715" s="13"/>
      <c r="C715" s="13"/>
      <c r="D715" s="13"/>
      <c r="E715" s="12"/>
      <c r="F715" s="13"/>
      <c r="G715" s="13"/>
      <c r="H715" s="13"/>
      <c r="I715" s="13"/>
      <c r="J715" s="15"/>
      <c r="K715" s="16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 spans="1:34" ht="13" x14ac:dyDescent="0.15">
      <c r="A716" s="12"/>
      <c r="B716" s="13"/>
      <c r="C716" s="13"/>
      <c r="D716" s="13"/>
      <c r="E716" s="12"/>
      <c r="F716" s="13"/>
      <c r="G716" s="13"/>
      <c r="H716" s="13"/>
      <c r="I716" s="13"/>
      <c r="J716" s="15"/>
      <c r="K716" s="16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 spans="1:34" ht="13" x14ac:dyDescent="0.15">
      <c r="A717" s="12"/>
      <c r="B717" s="13"/>
      <c r="C717" s="13"/>
      <c r="D717" s="13"/>
      <c r="E717" s="12"/>
      <c r="F717" s="13"/>
      <c r="G717" s="13"/>
      <c r="H717" s="13"/>
      <c r="I717" s="13"/>
      <c r="J717" s="15"/>
      <c r="K717" s="16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 spans="1:34" ht="13" x14ac:dyDescent="0.15">
      <c r="A718" s="12"/>
      <c r="B718" s="13"/>
      <c r="C718" s="13"/>
      <c r="D718" s="13"/>
      <c r="E718" s="12"/>
      <c r="F718" s="13"/>
      <c r="G718" s="13"/>
      <c r="H718" s="13"/>
      <c r="I718" s="13"/>
      <c r="J718" s="15"/>
      <c r="K718" s="16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 spans="1:34" ht="13" x14ac:dyDescent="0.15">
      <c r="A719" s="12"/>
      <c r="B719" s="13"/>
      <c r="C719" s="13"/>
      <c r="D719" s="13"/>
      <c r="E719" s="12"/>
      <c r="F719" s="13"/>
      <c r="G719" s="13"/>
      <c r="H719" s="13"/>
      <c r="I719" s="13"/>
      <c r="J719" s="15"/>
      <c r="K719" s="16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 spans="1:34" ht="13" x14ac:dyDescent="0.15">
      <c r="A720" s="12"/>
      <c r="B720" s="13"/>
      <c r="C720" s="13"/>
      <c r="D720" s="13"/>
      <c r="E720" s="12"/>
      <c r="F720" s="13"/>
      <c r="G720" s="13"/>
      <c r="H720" s="13"/>
      <c r="I720" s="13"/>
      <c r="J720" s="15"/>
      <c r="K720" s="16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 spans="1:34" ht="13" x14ac:dyDescent="0.15">
      <c r="A721" s="12"/>
      <c r="B721" s="13"/>
      <c r="C721" s="13"/>
      <c r="D721" s="13"/>
      <c r="E721" s="12"/>
      <c r="F721" s="13"/>
      <c r="G721" s="13"/>
      <c r="H721" s="13"/>
      <c r="I721" s="13"/>
      <c r="J721" s="15"/>
      <c r="K721" s="16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 spans="1:34" ht="13" x14ac:dyDescent="0.15">
      <c r="A722" s="12"/>
      <c r="B722" s="13"/>
      <c r="C722" s="13"/>
      <c r="D722" s="13"/>
      <c r="E722" s="12"/>
      <c r="F722" s="13"/>
      <c r="G722" s="13"/>
      <c r="H722" s="13"/>
      <c r="I722" s="13"/>
      <c r="J722" s="15"/>
      <c r="K722" s="16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 spans="1:34" ht="13" x14ac:dyDescent="0.15">
      <c r="A723" s="12"/>
      <c r="B723" s="13"/>
      <c r="C723" s="13"/>
      <c r="D723" s="13"/>
      <c r="E723" s="12"/>
      <c r="F723" s="13"/>
      <c r="G723" s="13"/>
      <c r="H723" s="13"/>
      <c r="I723" s="13"/>
      <c r="J723" s="15"/>
      <c r="K723" s="16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 spans="1:34" ht="13" x14ac:dyDescent="0.15">
      <c r="A724" s="12"/>
      <c r="B724" s="13"/>
      <c r="C724" s="13"/>
      <c r="D724" s="13"/>
      <c r="E724" s="12"/>
      <c r="F724" s="13"/>
      <c r="G724" s="13"/>
      <c r="H724" s="13"/>
      <c r="I724" s="13"/>
      <c r="J724" s="15"/>
      <c r="K724" s="16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 spans="1:34" ht="13" x14ac:dyDescent="0.15">
      <c r="A725" s="12"/>
      <c r="B725" s="13"/>
      <c r="C725" s="13"/>
      <c r="D725" s="13"/>
      <c r="E725" s="12"/>
      <c r="F725" s="13"/>
      <c r="G725" s="13"/>
      <c r="H725" s="13"/>
      <c r="I725" s="13"/>
      <c r="J725" s="15"/>
      <c r="K725" s="16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 spans="1:34" ht="13" x14ac:dyDescent="0.15">
      <c r="A726" s="12"/>
      <c r="B726" s="13"/>
      <c r="C726" s="13"/>
      <c r="D726" s="13"/>
      <c r="E726" s="12"/>
      <c r="F726" s="13"/>
      <c r="G726" s="13"/>
      <c r="H726" s="13"/>
      <c r="I726" s="13"/>
      <c r="J726" s="15"/>
      <c r="K726" s="16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 spans="1:34" ht="13" x14ac:dyDescent="0.15">
      <c r="A727" s="12"/>
      <c r="B727" s="13"/>
      <c r="C727" s="13"/>
      <c r="D727" s="13"/>
      <c r="E727" s="12"/>
      <c r="F727" s="13"/>
      <c r="G727" s="13"/>
      <c r="H727" s="13"/>
      <c r="I727" s="13"/>
      <c r="J727" s="15"/>
      <c r="K727" s="16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 spans="1:34" ht="13" x14ac:dyDescent="0.15">
      <c r="A728" s="12"/>
      <c r="B728" s="13"/>
      <c r="C728" s="13"/>
      <c r="D728" s="13"/>
      <c r="E728" s="12"/>
      <c r="F728" s="13"/>
      <c r="G728" s="13"/>
      <c r="H728" s="13"/>
      <c r="I728" s="13"/>
      <c r="J728" s="15"/>
      <c r="K728" s="16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 spans="1:34" ht="13" x14ac:dyDescent="0.15">
      <c r="A729" s="12"/>
      <c r="B729" s="13"/>
      <c r="C729" s="13"/>
      <c r="D729" s="13"/>
      <c r="E729" s="12"/>
      <c r="F729" s="13"/>
      <c r="G729" s="13"/>
      <c r="H729" s="13"/>
      <c r="I729" s="13"/>
      <c r="J729" s="15"/>
      <c r="K729" s="16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 spans="1:34" ht="13" x14ac:dyDescent="0.15">
      <c r="A730" s="12"/>
      <c r="B730" s="13"/>
      <c r="C730" s="13"/>
      <c r="D730" s="13"/>
      <c r="E730" s="12"/>
      <c r="F730" s="13"/>
      <c r="G730" s="13"/>
      <c r="H730" s="13"/>
      <c r="I730" s="13"/>
      <c r="J730" s="15"/>
      <c r="K730" s="16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 spans="1:34" ht="13" x14ac:dyDescent="0.15">
      <c r="A731" s="12"/>
      <c r="B731" s="13"/>
      <c r="C731" s="13"/>
      <c r="D731" s="13"/>
      <c r="E731" s="12"/>
      <c r="F731" s="13"/>
      <c r="G731" s="13"/>
      <c r="H731" s="13"/>
      <c r="I731" s="13"/>
      <c r="J731" s="15"/>
      <c r="K731" s="16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 spans="1:34" ht="13" x14ac:dyDescent="0.15">
      <c r="A732" s="12"/>
      <c r="B732" s="13"/>
      <c r="C732" s="13"/>
      <c r="D732" s="13"/>
      <c r="E732" s="12"/>
      <c r="F732" s="13"/>
      <c r="G732" s="13"/>
      <c r="H732" s="13"/>
      <c r="I732" s="13"/>
      <c r="J732" s="15"/>
      <c r="K732" s="16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 spans="1:34" ht="13" x14ac:dyDescent="0.15">
      <c r="A733" s="12"/>
      <c r="B733" s="13"/>
      <c r="C733" s="13"/>
      <c r="D733" s="13"/>
      <c r="E733" s="12"/>
      <c r="F733" s="13"/>
      <c r="G733" s="13"/>
      <c r="H733" s="13"/>
      <c r="I733" s="13"/>
      <c r="J733" s="15"/>
      <c r="K733" s="16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 spans="1:34" ht="13" x14ac:dyDescent="0.15">
      <c r="A734" s="12"/>
      <c r="B734" s="13"/>
      <c r="C734" s="13"/>
      <c r="D734" s="13"/>
      <c r="E734" s="12"/>
      <c r="F734" s="13"/>
      <c r="G734" s="13"/>
      <c r="H734" s="13"/>
      <c r="I734" s="13"/>
      <c r="J734" s="15"/>
      <c r="K734" s="16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 spans="1:34" ht="13" x14ac:dyDescent="0.15">
      <c r="A735" s="12"/>
      <c r="B735" s="13"/>
      <c r="C735" s="13"/>
      <c r="D735" s="13"/>
      <c r="E735" s="12"/>
      <c r="F735" s="13"/>
      <c r="G735" s="13"/>
      <c r="H735" s="13"/>
      <c r="I735" s="13"/>
      <c r="J735" s="15"/>
      <c r="K735" s="16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 spans="1:34" ht="13" x14ac:dyDescent="0.15">
      <c r="A736" s="12"/>
      <c r="B736" s="13"/>
      <c r="C736" s="13"/>
      <c r="D736" s="13"/>
      <c r="E736" s="12"/>
      <c r="F736" s="13"/>
      <c r="G736" s="13"/>
      <c r="H736" s="13"/>
      <c r="I736" s="13"/>
      <c r="J736" s="15"/>
      <c r="K736" s="16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 spans="1:34" ht="13" x14ac:dyDescent="0.15">
      <c r="A737" s="12"/>
      <c r="B737" s="13"/>
      <c r="C737" s="13"/>
      <c r="D737" s="13"/>
      <c r="E737" s="12"/>
      <c r="F737" s="13"/>
      <c r="G737" s="13"/>
      <c r="H737" s="13"/>
      <c r="I737" s="13"/>
      <c r="J737" s="15"/>
      <c r="K737" s="16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 spans="1:34" ht="13" x14ac:dyDescent="0.15">
      <c r="A738" s="12"/>
      <c r="B738" s="13"/>
      <c r="C738" s="13"/>
      <c r="D738" s="13"/>
      <c r="E738" s="12"/>
      <c r="F738" s="13"/>
      <c r="G738" s="13"/>
      <c r="H738" s="13"/>
      <c r="I738" s="13"/>
      <c r="J738" s="15"/>
      <c r="K738" s="16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 spans="1:34" ht="13" x14ac:dyDescent="0.15">
      <c r="A739" s="12"/>
      <c r="B739" s="13"/>
      <c r="C739" s="13"/>
      <c r="D739" s="13"/>
      <c r="E739" s="12"/>
      <c r="F739" s="13"/>
      <c r="G739" s="13"/>
      <c r="H739" s="13"/>
      <c r="I739" s="13"/>
      <c r="J739" s="15"/>
      <c r="K739" s="16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 spans="1:34" ht="13" x14ac:dyDescent="0.15">
      <c r="A740" s="12"/>
      <c r="B740" s="13"/>
      <c r="C740" s="13"/>
      <c r="D740" s="13"/>
      <c r="E740" s="12"/>
      <c r="F740" s="13"/>
      <c r="G740" s="13"/>
      <c r="H740" s="13"/>
      <c r="I740" s="13"/>
      <c r="J740" s="15"/>
      <c r="K740" s="16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 spans="1:34" ht="13" x14ac:dyDescent="0.15">
      <c r="A741" s="12"/>
      <c r="B741" s="13"/>
      <c r="C741" s="13"/>
      <c r="D741" s="13"/>
      <c r="E741" s="12"/>
      <c r="F741" s="13"/>
      <c r="G741" s="13"/>
      <c r="H741" s="13"/>
      <c r="I741" s="13"/>
      <c r="J741" s="15"/>
      <c r="K741" s="16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 spans="1:34" ht="13" x14ac:dyDescent="0.15">
      <c r="A742" s="12"/>
      <c r="B742" s="13"/>
      <c r="C742" s="13"/>
      <c r="D742" s="13"/>
      <c r="E742" s="12"/>
      <c r="F742" s="13"/>
      <c r="G742" s="13"/>
      <c r="H742" s="13"/>
      <c r="I742" s="13"/>
      <c r="J742" s="15"/>
      <c r="K742" s="16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 spans="1:34" ht="13" x14ac:dyDescent="0.15">
      <c r="A743" s="12"/>
      <c r="B743" s="13"/>
      <c r="C743" s="13"/>
      <c r="D743" s="13"/>
      <c r="E743" s="12"/>
      <c r="F743" s="13"/>
      <c r="G743" s="13"/>
      <c r="H743" s="13"/>
      <c r="I743" s="13"/>
      <c r="J743" s="15"/>
      <c r="K743" s="16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 spans="1:34" ht="13" x14ac:dyDescent="0.15">
      <c r="A744" s="12"/>
      <c r="B744" s="13"/>
      <c r="C744" s="13"/>
      <c r="D744" s="13"/>
      <c r="E744" s="12"/>
      <c r="F744" s="13"/>
      <c r="G744" s="13"/>
      <c r="H744" s="13"/>
      <c r="I744" s="13"/>
      <c r="J744" s="15"/>
      <c r="K744" s="16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 spans="1:34" ht="13" x14ac:dyDescent="0.15">
      <c r="A745" s="12"/>
      <c r="B745" s="13"/>
      <c r="C745" s="13"/>
      <c r="D745" s="13"/>
      <c r="E745" s="12"/>
      <c r="F745" s="13"/>
      <c r="G745" s="13"/>
      <c r="H745" s="13"/>
      <c r="I745" s="13"/>
      <c r="J745" s="15"/>
      <c r="K745" s="16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 spans="1:34" ht="13" x14ac:dyDescent="0.15">
      <c r="A746" s="12"/>
      <c r="B746" s="13"/>
      <c r="C746" s="13"/>
      <c r="D746" s="13"/>
      <c r="E746" s="12"/>
      <c r="F746" s="13"/>
      <c r="G746" s="13"/>
      <c r="H746" s="13"/>
      <c r="I746" s="13"/>
      <c r="J746" s="15"/>
      <c r="K746" s="16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 spans="1:34" ht="13" x14ac:dyDescent="0.15">
      <c r="A747" s="12"/>
      <c r="B747" s="13"/>
      <c r="C747" s="13"/>
      <c r="D747" s="13"/>
      <c r="E747" s="12"/>
      <c r="F747" s="13"/>
      <c r="G747" s="13"/>
      <c r="H747" s="13"/>
      <c r="I747" s="13"/>
      <c r="J747" s="15"/>
      <c r="K747" s="16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 spans="1:34" ht="13" x14ac:dyDescent="0.15">
      <c r="A748" s="12"/>
      <c r="B748" s="13"/>
      <c r="C748" s="13"/>
      <c r="D748" s="13"/>
      <c r="E748" s="12"/>
      <c r="F748" s="13"/>
      <c r="G748" s="13"/>
      <c r="H748" s="13"/>
      <c r="I748" s="13"/>
      <c r="J748" s="15"/>
      <c r="K748" s="16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 spans="1:34" ht="13" x14ac:dyDescent="0.15">
      <c r="A749" s="12"/>
      <c r="B749" s="13"/>
      <c r="C749" s="13"/>
      <c r="D749" s="13"/>
      <c r="E749" s="12"/>
      <c r="F749" s="13"/>
      <c r="G749" s="13"/>
      <c r="H749" s="13"/>
      <c r="I749" s="13"/>
      <c r="J749" s="15"/>
      <c r="K749" s="16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 spans="1:34" ht="13" x14ac:dyDescent="0.15">
      <c r="A750" s="12"/>
      <c r="B750" s="13"/>
      <c r="C750" s="13"/>
      <c r="D750" s="13"/>
      <c r="E750" s="12"/>
      <c r="F750" s="13"/>
      <c r="G750" s="13"/>
      <c r="H750" s="13"/>
      <c r="I750" s="13"/>
      <c r="J750" s="15"/>
      <c r="K750" s="16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 spans="1:34" ht="13" x14ac:dyDescent="0.15">
      <c r="A751" s="12"/>
      <c r="B751" s="13"/>
      <c r="C751" s="13"/>
      <c r="D751" s="13"/>
      <c r="E751" s="12"/>
      <c r="F751" s="13"/>
      <c r="G751" s="13"/>
      <c r="H751" s="13"/>
      <c r="I751" s="13"/>
      <c r="J751" s="15"/>
      <c r="K751" s="16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 spans="1:34" ht="13" x14ac:dyDescent="0.15">
      <c r="A752" s="12"/>
      <c r="B752" s="13"/>
      <c r="C752" s="13"/>
      <c r="D752" s="13"/>
      <c r="E752" s="12"/>
      <c r="F752" s="13"/>
      <c r="G752" s="13"/>
      <c r="H752" s="13"/>
      <c r="I752" s="13"/>
      <c r="J752" s="15"/>
      <c r="K752" s="16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 spans="1:34" ht="13" x14ac:dyDescent="0.15">
      <c r="A753" s="12"/>
      <c r="B753" s="13"/>
      <c r="C753" s="13"/>
      <c r="D753" s="13"/>
      <c r="E753" s="12"/>
      <c r="F753" s="13"/>
      <c r="G753" s="13"/>
      <c r="H753" s="13"/>
      <c r="I753" s="13"/>
      <c r="J753" s="15"/>
      <c r="K753" s="16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 spans="1:34" ht="13" x14ac:dyDescent="0.15">
      <c r="A754" s="12"/>
      <c r="B754" s="13"/>
      <c r="C754" s="13"/>
      <c r="D754" s="13"/>
      <c r="E754" s="12"/>
      <c r="F754" s="13"/>
      <c r="G754" s="13"/>
      <c r="H754" s="13"/>
      <c r="I754" s="13"/>
      <c r="J754" s="15"/>
      <c r="K754" s="16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 spans="1:34" ht="13" x14ac:dyDescent="0.15">
      <c r="A755" s="12"/>
      <c r="B755" s="13"/>
      <c r="C755" s="13"/>
      <c r="D755" s="13"/>
      <c r="E755" s="12"/>
      <c r="F755" s="13"/>
      <c r="G755" s="13"/>
      <c r="H755" s="13"/>
      <c r="I755" s="13"/>
      <c r="J755" s="15"/>
      <c r="K755" s="16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 spans="1:34" ht="13" x14ac:dyDescent="0.15">
      <c r="A756" s="12"/>
      <c r="B756" s="13"/>
      <c r="C756" s="13"/>
      <c r="D756" s="13"/>
      <c r="E756" s="12"/>
      <c r="F756" s="13"/>
      <c r="G756" s="13"/>
      <c r="H756" s="13"/>
      <c r="I756" s="13"/>
      <c r="J756" s="15"/>
      <c r="K756" s="16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 spans="1:34" ht="13" x14ac:dyDescent="0.15">
      <c r="A757" s="12"/>
      <c r="B757" s="13"/>
      <c r="C757" s="13"/>
      <c r="D757" s="13"/>
      <c r="E757" s="12"/>
      <c r="F757" s="13"/>
      <c r="G757" s="13"/>
      <c r="H757" s="13"/>
      <c r="I757" s="13"/>
      <c r="J757" s="15"/>
      <c r="K757" s="16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 spans="1:34" ht="13" x14ac:dyDescent="0.15">
      <c r="A758" s="12"/>
      <c r="B758" s="13"/>
      <c r="C758" s="13"/>
      <c r="D758" s="13"/>
      <c r="E758" s="12"/>
      <c r="F758" s="13"/>
      <c r="G758" s="13"/>
      <c r="H758" s="13"/>
      <c r="I758" s="13"/>
      <c r="J758" s="15"/>
      <c r="K758" s="16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 spans="1:34" ht="13" x14ac:dyDescent="0.15">
      <c r="A759" s="12"/>
      <c r="B759" s="13"/>
      <c r="C759" s="13"/>
      <c r="D759" s="13"/>
      <c r="E759" s="12"/>
      <c r="F759" s="13"/>
      <c r="G759" s="13"/>
      <c r="H759" s="13"/>
      <c r="I759" s="13"/>
      <c r="J759" s="15"/>
      <c r="K759" s="16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 spans="1:34" ht="13" x14ac:dyDescent="0.15">
      <c r="A760" s="12"/>
      <c r="B760" s="13"/>
      <c r="C760" s="13"/>
      <c r="D760" s="13"/>
      <c r="E760" s="12"/>
      <c r="F760" s="13"/>
      <c r="G760" s="13"/>
      <c r="H760" s="13"/>
      <c r="I760" s="13"/>
      <c r="J760" s="15"/>
      <c r="K760" s="16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 spans="1:34" ht="13" x14ac:dyDescent="0.15">
      <c r="A761" s="12"/>
      <c r="B761" s="13"/>
      <c r="C761" s="13"/>
      <c r="D761" s="13"/>
      <c r="E761" s="12"/>
      <c r="F761" s="13"/>
      <c r="G761" s="13"/>
      <c r="H761" s="13"/>
      <c r="I761" s="13"/>
      <c r="J761" s="15"/>
      <c r="K761" s="16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 spans="1:34" ht="13" x14ac:dyDescent="0.15">
      <c r="A762" s="12"/>
      <c r="B762" s="13"/>
      <c r="C762" s="13"/>
      <c r="D762" s="13"/>
      <c r="E762" s="12"/>
      <c r="F762" s="13"/>
      <c r="G762" s="13"/>
      <c r="H762" s="13"/>
      <c r="I762" s="13"/>
      <c r="J762" s="15"/>
      <c r="K762" s="16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 spans="1:34" ht="13" x14ac:dyDescent="0.15">
      <c r="A763" s="12"/>
      <c r="B763" s="13"/>
      <c r="C763" s="13"/>
      <c r="D763" s="13"/>
      <c r="E763" s="12"/>
      <c r="F763" s="13"/>
      <c r="G763" s="13"/>
      <c r="H763" s="13"/>
      <c r="I763" s="13"/>
      <c r="J763" s="15"/>
      <c r="K763" s="16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 spans="1:34" ht="13" x14ac:dyDescent="0.15">
      <c r="A764" s="12"/>
      <c r="B764" s="13"/>
      <c r="C764" s="13"/>
      <c r="D764" s="13"/>
      <c r="E764" s="12"/>
      <c r="F764" s="13"/>
      <c r="G764" s="13"/>
      <c r="H764" s="13"/>
      <c r="I764" s="13"/>
      <c r="J764" s="15"/>
      <c r="K764" s="16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 spans="1:34" ht="13" x14ac:dyDescent="0.15">
      <c r="A765" s="12"/>
      <c r="B765" s="13"/>
      <c r="C765" s="13"/>
      <c r="D765" s="13"/>
      <c r="E765" s="12"/>
      <c r="F765" s="13"/>
      <c r="G765" s="13"/>
      <c r="H765" s="13"/>
      <c r="I765" s="13"/>
      <c r="J765" s="15"/>
      <c r="K765" s="16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 spans="1:34" ht="13" x14ac:dyDescent="0.15">
      <c r="A766" s="12"/>
      <c r="B766" s="13"/>
      <c r="C766" s="13"/>
      <c r="D766" s="13"/>
      <c r="E766" s="12"/>
      <c r="F766" s="13"/>
      <c r="G766" s="13"/>
      <c r="H766" s="13"/>
      <c r="I766" s="13"/>
      <c r="J766" s="15"/>
      <c r="K766" s="16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 spans="1:34" ht="13" x14ac:dyDescent="0.15">
      <c r="A767" s="12"/>
      <c r="B767" s="13"/>
      <c r="C767" s="13"/>
      <c r="D767" s="13"/>
      <c r="E767" s="12"/>
      <c r="F767" s="13"/>
      <c r="G767" s="13"/>
      <c r="H767" s="13"/>
      <c r="I767" s="13"/>
      <c r="J767" s="15"/>
      <c r="K767" s="16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 spans="1:34" ht="13" x14ac:dyDescent="0.15">
      <c r="A768" s="12"/>
      <c r="B768" s="13"/>
      <c r="C768" s="13"/>
      <c r="D768" s="13"/>
      <c r="E768" s="12"/>
      <c r="F768" s="13"/>
      <c r="G768" s="13"/>
      <c r="H768" s="13"/>
      <c r="I768" s="13"/>
      <c r="J768" s="15"/>
      <c r="K768" s="16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 spans="1:34" ht="13" x14ac:dyDescent="0.15">
      <c r="A769" s="12"/>
      <c r="B769" s="13"/>
      <c r="C769" s="13"/>
      <c r="D769" s="13"/>
      <c r="E769" s="12"/>
      <c r="F769" s="13"/>
      <c r="G769" s="13"/>
      <c r="H769" s="13"/>
      <c r="I769" s="13"/>
      <c r="J769" s="15"/>
      <c r="K769" s="16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 spans="1:34" ht="13" x14ac:dyDescent="0.15">
      <c r="A770" s="12"/>
      <c r="B770" s="13"/>
      <c r="C770" s="13"/>
      <c r="D770" s="13"/>
      <c r="E770" s="12"/>
      <c r="F770" s="13"/>
      <c r="G770" s="13"/>
      <c r="H770" s="13"/>
      <c r="I770" s="13"/>
      <c r="J770" s="15"/>
      <c r="K770" s="16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 spans="1:34" ht="13" x14ac:dyDescent="0.15">
      <c r="A771" s="12"/>
      <c r="B771" s="13"/>
      <c r="C771" s="13"/>
      <c r="D771" s="13"/>
      <c r="E771" s="12"/>
      <c r="F771" s="13"/>
      <c r="G771" s="13"/>
      <c r="H771" s="13"/>
      <c r="I771" s="13"/>
      <c r="J771" s="15"/>
      <c r="K771" s="16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 spans="1:34" ht="13" x14ac:dyDescent="0.15">
      <c r="A772" s="12"/>
      <c r="B772" s="13"/>
      <c r="C772" s="13"/>
      <c r="D772" s="13"/>
      <c r="E772" s="12"/>
      <c r="F772" s="13"/>
      <c r="G772" s="13"/>
      <c r="H772" s="13"/>
      <c r="I772" s="13"/>
      <c r="J772" s="15"/>
      <c r="K772" s="16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 spans="1:34" ht="13" x14ac:dyDescent="0.15">
      <c r="A773" s="12"/>
      <c r="B773" s="13"/>
      <c r="C773" s="13"/>
      <c r="D773" s="13"/>
      <c r="E773" s="12"/>
      <c r="F773" s="13"/>
      <c r="G773" s="13"/>
      <c r="H773" s="13"/>
      <c r="I773" s="13"/>
      <c r="J773" s="15"/>
      <c r="K773" s="16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 spans="1:34" ht="13" x14ac:dyDescent="0.15">
      <c r="A774" s="12"/>
      <c r="B774" s="13"/>
      <c r="C774" s="13"/>
      <c r="D774" s="13"/>
      <c r="E774" s="12"/>
      <c r="F774" s="13"/>
      <c r="G774" s="13"/>
      <c r="H774" s="13"/>
      <c r="I774" s="13"/>
      <c r="J774" s="15"/>
      <c r="K774" s="16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 spans="1:34" ht="13" x14ac:dyDescent="0.15">
      <c r="A775" s="12"/>
      <c r="B775" s="13"/>
      <c r="C775" s="13"/>
      <c r="D775" s="13"/>
      <c r="E775" s="12"/>
      <c r="F775" s="13"/>
      <c r="G775" s="13"/>
      <c r="H775" s="13"/>
      <c r="I775" s="13"/>
      <c r="J775" s="15"/>
      <c r="K775" s="16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 spans="1:34" ht="13" x14ac:dyDescent="0.15">
      <c r="A776" s="12"/>
      <c r="B776" s="13"/>
      <c r="C776" s="13"/>
      <c r="D776" s="13"/>
      <c r="E776" s="12"/>
      <c r="F776" s="13"/>
      <c r="G776" s="13"/>
      <c r="H776" s="13"/>
      <c r="I776" s="13"/>
      <c r="J776" s="15"/>
      <c r="K776" s="16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 spans="1:34" ht="13" x14ac:dyDescent="0.15">
      <c r="A777" s="12"/>
      <c r="B777" s="13"/>
      <c r="C777" s="13"/>
      <c r="D777" s="13"/>
      <c r="E777" s="12"/>
      <c r="F777" s="13"/>
      <c r="G777" s="13"/>
      <c r="H777" s="13"/>
      <c r="I777" s="13"/>
      <c r="J777" s="15"/>
      <c r="K777" s="16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 spans="1:34" ht="13" x14ac:dyDescent="0.15">
      <c r="A778" s="12"/>
      <c r="B778" s="13"/>
      <c r="C778" s="13"/>
      <c r="D778" s="13"/>
      <c r="E778" s="12"/>
      <c r="F778" s="13"/>
      <c r="G778" s="13"/>
      <c r="H778" s="13"/>
      <c r="I778" s="13"/>
      <c r="J778" s="15"/>
      <c r="K778" s="16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 spans="1:34" ht="13" x14ac:dyDescent="0.15">
      <c r="A779" s="12"/>
      <c r="B779" s="13"/>
      <c r="C779" s="13"/>
      <c r="D779" s="13"/>
      <c r="E779" s="12"/>
      <c r="F779" s="13"/>
      <c r="G779" s="13"/>
      <c r="H779" s="13"/>
      <c r="I779" s="13"/>
      <c r="J779" s="15"/>
      <c r="K779" s="16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 spans="1:34" ht="13" x14ac:dyDescent="0.15">
      <c r="A780" s="12"/>
      <c r="B780" s="13"/>
      <c r="C780" s="13"/>
      <c r="D780" s="13"/>
      <c r="E780" s="12"/>
      <c r="F780" s="13"/>
      <c r="G780" s="13"/>
      <c r="H780" s="13"/>
      <c r="I780" s="13"/>
      <c r="J780" s="15"/>
      <c r="K780" s="16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 spans="1:34" ht="13" x14ac:dyDescent="0.15">
      <c r="A781" s="12"/>
      <c r="B781" s="13"/>
      <c r="C781" s="13"/>
      <c r="D781" s="13"/>
      <c r="E781" s="12"/>
      <c r="F781" s="13"/>
      <c r="G781" s="13"/>
      <c r="H781" s="13"/>
      <c r="I781" s="13"/>
      <c r="J781" s="15"/>
      <c r="K781" s="16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 spans="1:34" ht="13" x14ac:dyDescent="0.15">
      <c r="A782" s="12"/>
      <c r="B782" s="13"/>
      <c r="C782" s="13"/>
      <c r="D782" s="13"/>
      <c r="E782" s="12"/>
      <c r="F782" s="13"/>
      <c r="G782" s="13"/>
      <c r="H782" s="13"/>
      <c r="I782" s="13"/>
      <c r="J782" s="15"/>
      <c r="K782" s="16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 spans="1:34" ht="13" x14ac:dyDescent="0.15">
      <c r="A783" s="12"/>
      <c r="B783" s="13"/>
      <c r="C783" s="13"/>
      <c r="D783" s="13"/>
      <c r="E783" s="12"/>
      <c r="F783" s="13"/>
      <c r="G783" s="13"/>
      <c r="H783" s="13"/>
      <c r="I783" s="13"/>
      <c r="J783" s="15"/>
      <c r="K783" s="16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 spans="1:34" ht="13" x14ac:dyDescent="0.15">
      <c r="A784" s="12"/>
      <c r="B784" s="13"/>
      <c r="C784" s="13"/>
      <c r="D784" s="13"/>
      <c r="E784" s="12"/>
      <c r="F784" s="13"/>
      <c r="G784" s="13"/>
      <c r="H784" s="13"/>
      <c r="I784" s="13"/>
      <c r="J784" s="15"/>
      <c r="K784" s="16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 spans="1:34" ht="13" x14ac:dyDescent="0.15">
      <c r="A785" s="12"/>
      <c r="B785" s="13"/>
      <c r="C785" s="13"/>
      <c r="D785" s="13"/>
      <c r="E785" s="12"/>
      <c r="F785" s="13"/>
      <c r="G785" s="13"/>
      <c r="H785" s="13"/>
      <c r="I785" s="13"/>
      <c r="J785" s="15"/>
      <c r="K785" s="16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 spans="1:34" ht="13" x14ac:dyDescent="0.15">
      <c r="A786" s="12"/>
      <c r="B786" s="13"/>
      <c r="C786" s="13"/>
      <c r="D786" s="13"/>
      <c r="E786" s="12"/>
      <c r="F786" s="13"/>
      <c r="G786" s="13"/>
      <c r="H786" s="13"/>
      <c r="I786" s="13"/>
      <c r="J786" s="15"/>
      <c r="K786" s="16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 spans="1:34" ht="13" x14ac:dyDescent="0.15">
      <c r="A787" s="12"/>
      <c r="B787" s="13"/>
      <c r="C787" s="13"/>
      <c r="D787" s="13"/>
      <c r="E787" s="12"/>
      <c r="F787" s="13"/>
      <c r="G787" s="13"/>
      <c r="H787" s="13"/>
      <c r="I787" s="13"/>
      <c r="J787" s="15"/>
      <c r="K787" s="16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 spans="1:34" ht="13" x14ac:dyDescent="0.15">
      <c r="A788" s="12"/>
      <c r="B788" s="13"/>
      <c r="C788" s="13"/>
      <c r="D788" s="13"/>
      <c r="E788" s="12"/>
      <c r="F788" s="13"/>
      <c r="G788" s="13"/>
      <c r="H788" s="13"/>
      <c r="I788" s="13"/>
      <c r="J788" s="15"/>
      <c r="K788" s="16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 spans="1:34" ht="13" x14ac:dyDescent="0.15">
      <c r="A789" s="12"/>
      <c r="B789" s="13"/>
      <c r="C789" s="13"/>
      <c r="D789" s="13"/>
      <c r="E789" s="12"/>
      <c r="F789" s="13"/>
      <c r="G789" s="13"/>
      <c r="H789" s="13"/>
      <c r="I789" s="13"/>
      <c r="J789" s="15"/>
      <c r="K789" s="16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 spans="1:34" ht="13" x14ac:dyDescent="0.15">
      <c r="A790" s="12"/>
      <c r="B790" s="13"/>
      <c r="C790" s="13"/>
      <c r="D790" s="13"/>
      <c r="E790" s="12"/>
      <c r="F790" s="13"/>
      <c r="G790" s="13"/>
      <c r="H790" s="13"/>
      <c r="I790" s="13"/>
      <c r="J790" s="15"/>
      <c r="K790" s="16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 spans="1:34" ht="13" x14ac:dyDescent="0.15">
      <c r="A791" s="12"/>
      <c r="B791" s="13"/>
      <c r="C791" s="13"/>
      <c r="D791" s="13"/>
      <c r="E791" s="12"/>
      <c r="F791" s="13"/>
      <c r="G791" s="13"/>
      <c r="H791" s="13"/>
      <c r="I791" s="13"/>
      <c r="J791" s="15"/>
      <c r="K791" s="16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 spans="1:34" ht="13" x14ac:dyDescent="0.15">
      <c r="A792" s="12"/>
      <c r="B792" s="13"/>
      <c r="C792" s="13"/>
      <c r="D792" s="13"/>
      <c r="E792" s="12"/>
      <c r="F792" s="13"/>
      <c r="G792" s="13"/>
      <c r="H792" s="13"/>
      <c r="I792" s="13"/>
      <c r="J792" s="15"/>
      <c r="K792" s="16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 spans="1:34" ht="13" x14ac:dyDescent="0.15">
      <c r="A793" s="12"/>
      <c r="B793" s="13"/>
      <c r="C793" s="13"/>
      <c r="D793" s="13"/>
      <c r="E793" s="12"/>
      <c r="F793" s="13"/>
      <c r="G793" s="13"/>
      <c r="H793" s="13"/>
      <c r="I793" s="13"/>
      <c r="J793" s="15"/>
      <c r="K793" s="16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 spans="1:34" ht="13" x14ac:dyDescent="0.15">
      <c r="A794" s="12"/>
      <c r="B794" s="13"/>
      <c r="C794" s="13"/>
      <c r="D794" s="13"/>
      <c r="E794" s="12"/>
      <c r="F794" s="13"/>
      <c r="G794" s="13"/>
      <c r="H794" s="13"/>
      <c r="I794" s="13"/>
      <c r="J794" s="15"/>
      <c r="K794" s="16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 spans="1:34" ht="13" x14ac:dyDescent="0.15">
      <c r="A795" s="12"/>
      <c r="B795" s="13"/>
      <c r="C795" s="13"/>
      <c r="D795" s="13"/>
      <c r="E795" s="12"/>
      <c r="F795" s="13"/>
      <c r="G795" s="13"/>
      <c r="H795" s="13"/>
      <c r="I795" s="13"/>
      <c r="J795" s="15"/>
      <c r="K795" s="16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 spans="1:34" ht="13" x14ac:dyDescent="0.15">
      <c r="A796" s="12"/>
      <c r="B796" s="13"/>
      <c r="C796" s="13"/>
      <c r="D796" s="13"/>
      <c r="E796" s="12"/>
      <c r="F796" s="13"/>
      <c r="G796" s="13"/>
      <c r="H796" s="13"/>
      <c r="I796" s="13"/>
      <c r="J796" s="15"/>
      <c r="K796" s="16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 spans="1:34" ht="13" x14ac:dyDescent="0.15">
      <c r="A797" s="12"/>
      <c r="B797" s="13"/>
      <c r="C797" s="13"/>
      <c r="D797" s="13"/>
      <c r="E797" s="12"/>
      <c r="F797" s="13"/>
      <c r="G797" s="13"/>
      <c r="H797" s="13"/>
      <c r="I797" s="13"/>
      <c r="J797" s="15"/>
      <c r="K797" s="16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 spans="1:34" ht="13" x14ac:dyDescent="0.15">
      <c r="A798" s="12"/>
      <c r="B798" s="13"/>
      <c r="C798" s="13"/>
      <c r="D798" s="13"/>
      <c r="E798" s="12"/>
      <c r="F798" s="13"/>
      <c r="G798" s="13"/>
      <c r="H798" s="13"/>
      <c r="I798" s="13"/>
      <c r="J798" s="15"/>
      <c r="K798" s="16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 spans="1:34" ht="13" x14ac:dyDescent="0.15">
      <c r="A799" s="12"/>
      <c r="B799" s="13"/>
      <c r="C799" s="13"/>
      <c r="D799" s="13"/>
      <c r="E799" s="12"/>
      <c r="F799" s="13"/>
      <c r="G799" s="13"/>
      <c r="H799" s="13"/>
      <c r="I799" s="13"/>
      <c r="J799" s="15"/>
      <c r="K799" s="16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 spans="1:34" ht="13" x14ac:dyDescent="0.15">
      <c r="A800" s="12"/>
      <c r="B800" s="13"/>
      <c r="C800" s="13"/>
      <c r="D800" s="13"/>
      <c r="E800" s="12"/>
      <c r="F800" s="13"/>
      <c r="G800" s="13"/>
      <c r="H800" s="13"/>
      <c r="I800" s="13"/>
      <c r="J800" s="15"/>
      <c r="K800" s="16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 spans="1:34" ht="13" x14ac:dyDescent="0.15">
      <c r="A801" s="12"/>
      <c r="B801" s="13"/>
      <c r="C801" s="13"/>
      <c r="D801" s="13"/>
      <c r="E801" s="12"/>
      <c r="F801" s="13"/>
      <c r="G801" s="13"/>
      <c r="H801" s="13"/>
      <c r="I801" s="13"/>
      <c r="J801" s="15"/>
      <c r="K801" s="16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 spans="1:34" ht="13" x14ac:dyDescent="0.15">
      <c r="A802" s="12"/>
      <c r="B802" s="13"/>
      <c r="C802" s="13"/>
      <c r="D802" s="13"/>
      <c r="E802" s="12"/>
      <c r="F802" s="13"/>
      <c r="G802" s="13"/>
      <c r="H802" s="13"/>
      <c r="I802" s="13"/>
      <c r="J802" s="15"/>
      <c r="K802" s="16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 spans="1:34" ht="13" x14ac:dyDescent="0.15">
      <c r="A803" s="12"/>
      <c r="B803" s="13"/>
      <c r="C803" s="13"/>
      <c r="D803" s="13"/>
      <c r="E803" s="12"/>
      <c r="F803" s="13"/>
      <c r="G803" s="13"/>
      <c r="H803" s="13"/>
      <c r="I803" s="13"/>
      <c r="J803" s="15"/>
      <c r="K803" s="16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 spans="1:34" ht="13" x14ac:dyDescent="0.15">
      <c r="A804" s="12"/>
      <c r="B804" s="13"/>
      <c r="C804" s="13"/>
      <c r="D804" s="13"/>
      <c r="E804" s="12"/>
      <c r="F804" s="13"/>
      <c r="G804" s="13"/>
      <c r="H804" s="13"/>
      <c r="I804" s="13"/>
      <c r="J804" s="15"/>
      <c r="K804" s="16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 spans="1:34" ht="13" x14ac:dyDescent="0.15">
      <c r="A805" s="12"/>
      <c r="B805" s="13"/>
      <c r="C805" s="13"/>
      <c r="D805" s="13"/>
      <c r="E805" s="12"/>
      <c r="F805" s="13"/>
      <c r="G805" s="13"/>
      <c r="H805" s="13"/>
      <c r="I805" s="13"/>
      <c r="J805" s="15"/>
      <c r="K805" s="16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 spans="1:34" ht="13" x14ac:dyDescent="0.15">
      <c r="A806" s="12"/>
      <c r="B806" s="13"/>
      <c r="C806" s="13"/>
      <c r="D806" s="13"/>
      <c r="E806" s="12"/>
      <c r="F806" s="13"/>
      <c r="G806" s="13"/>
      <c r="H806" s="13"/>
      <c r="I806" s="13"/>
      <c r="J806" s="15"/>
      <c r="K806" s="16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 spans="1:34" ht="13" x14ac:dyDescent="0.15">
      <c r="A807" s="12"/>
      <c r="B807" s="13"/>
      <c r="C807" s="13"/>
      <c r="D807" s="13"/>
      <c r="E807" s="12"/>
      <c r="F807" s="13"/>
      <c r="G807" s="13"/>
      <c r="H807" s="13"/>
      <c r="I807" s="13"/>
      <c r="J807" s="15"/>
      <c r="K807" s="16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 spans="1:34" ht="13" x14ac:dyDescent="0.15">
      <c r="A808" s="12"/>
      <c r="B808" s="13"/>
      <c r="C808" s="13"/>
      <c r="D808" s="13"/>
      <c r="E808" s="12"/>
      <c r="F808" s="13"/>
      <c r="G808" s="13"/>
      <c r="H808" s="13"/>
      <c r="I808" s="13"/>
      <c r="J808" s="15"/>
      <c r="K808" s="16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 spans="1:34" ht="13" x14ac:dyDescent="0.15">
      <c r="A809" s="12"/>
      <c r="B809" s="13"/>
      <c r="C809" s="13"/>
      <c r="D809" s="13"/>
      <c r="E809" s="12"/>
      <c r="F809" s="13"/>
      <c r="G809" s="13"/>
      <c r="H809" s="13"/>
      <c r="I809" s="13"/>
      <c r="J809" s="15"/>
      <c r="K809" s="16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 spans="1:34" ht="13" x14ac:dyDescent="0.15">
      <c r="A810" s="12"/>
      <c r="B810" s="13"/>
      <c r="C810" s="13"/>
      <c r="D810" s="13"/>
      <c r="E810" s="12"/>
      <c r="F810" s="13"/>
      <c r="G810" s="13"/>
      <c r="H810" s="13"/>
      <c r="I810" s="13"/>
      <c r="J810" s="15"/>
      <c r="K810" s="16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 spans="1:34" ht="13" x14ac:dyDescent="0.15">
      <c r="A811" s="12"/>
      <c r="B811" s="13"/>
      <c r="C811" s="13"/>
      <c r="D811" s="13"/>
      <c r="E811" s="12"/>
      <c r="F811" s="13"/>
      <c r="G811" s="13"/>
      <c r="H811" s="13"/>
      <c r="I811" s="13"/>
      <c r="J811" s="15"/>
      <c r="K811" s="16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 spans="1:34" ht="13" x14ac:dyDescent="0.15">
      <c r="A812" s="12"/>
      <c r="B812" s="13"/>
      <c r="C812" s="13"/>
      <c r="D812" s="13"/>
      <c r="E812" s="12"/>
      <c r="F812" s="13"/>
      <c r="G812" s="13"/>
      <c r="H812" s="13"/>
      <c r="I812" s="13"/>
      <c r="J812" s="15"/>
      <c r="K812" s="16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 spans="1:34" ht="13" x14ac:dyDescent="0.15">
      <c r="A813" s="12"/>
      <c r="B813" s="13"/>
      <c r="C813" s="13"/>
      <c r="D813" s="13"/>
      <c r="E813" s="12"/>
      <c r="F813" s="13"/>
      <c r="G813" s="13"/>
      <c r="H813" s="13"/>
      <c r="I813" s="13"/>
      <c r="J813" s="15"/>
      <c r="K813" s="16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 spans="1:34" ht="13" x14ac:dyDescent="0.15">
      <c r="A814" s="12"/>
      <c r="B814" s="13"/>
      <c r="C814" s="13"/>
      <c r="D814" s="13"/>
      <c r="E814" s="12"/>
      <c r="F814" s="13"/>
      <c r="G814" s="13"/>
      <c r="H814" s="13"/>
      <c r="I814" s="13"/>
      <c r="J814" s="15"/>
      <c r="K814" s="16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 spans="1:34" ht="13" x14ac:dyDescent="0.15">
      <c r="A815" s="12"/>
      <c r="B815" s="13"/>
      <c r="C815" s="13"/>
      <c r="D815" s="13"/>
      <c r="E815" s="12"/>
      <c r="F815" s="13"/>
      <c r="G815" s="13"/>
      <c r="H815" s="13"/>
      <c r="I815" s="13"/>
      <c r="J815" s="15"/>
      <c r="K815" s="16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 spans="1:34" ht="13" x14ac:dyDescent="0.15">
      <c r="A816" s="12"/>
      <c r="B816" s="13"/>
      <c r="C816" s="13"/>
      <c r="D816" s="13"/>
      <c r="E816" s="12"/>
      <c r="F816" s="13"/>
      <c r="G816" s="13"/>
      <c r="H816" s="13"/>
      <c r="I816" s="13"/>
      <c r="J816" s="15"/>
      <c r="K816" s="16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 spans="1:34" ht="13" x14ac:dyDescent="0.15">
      <c r="A817" s="12"/>
      <c r="B817" s="13"/>
      <c r="C817" s="13"/>
      <c r="D817" s="13"/>
      <c r="E817" s="12"/>
      <c r="F817" s="13"/>
      <c r="G817" s="13"/>
      <c r="H817" s="13"/>
      <c r="I817" s="13"/>
      <c r="J817" s="15"/>
      <c r="K817" s="16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 spans="1:34" ht="13" x14ac:dyDescent="0.15">
      <c r="A818" s="12"/>
      <c r="B818" s="13"/>
      <c r="C818" s="13"/>
      <c r="D818" s="13"/>
      <c r="E818" s="12"/>
      <c r="F818" s="13"/>
      <c r="G818" s="13"/>
      <c r="H818" s="13"/>
      <c r="I818" s="13"/>
      <c r="J818" s="15"/>
      <c r="K818" s="16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 spans="1:34" ht="13" x14ac:dyDescent="0.15">
      <c r="A819" s="12"/>
      <c r="B819" s="13"/>
      <c r="C819" s="13"/>
      <c r="D819" s="13"/>
      <c r="E819" s="12"/>
      <c r="F819" s="13"/>
      <c r="G819" s="13"/>
      <c r="H819" s="13"/>
      <c r="I819" s="13"/>
      <c r="J819" s="15"/>
      <c r="K819" s="16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 spans="1:34" ht="13" x14ac:dyDescent="0.15">
      <c r="A820" s="12"/>
      <c r="B820" s="13"/>
      <c r="C820" s="13"/>
      <c r="D820" s="13"/>
      <c r="E820" s="12"/>
      <c r="F820" s="13"/>
      <c r="G820" s="13"/>
      <c r="H820" s="13"/>
      <c r="I820" s="13"/>
      <c r="J820" s="15"/>
      <c r="K820" s="16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 spans="1:34" ht="13" x14ac:dyDescent="0.15">
      <c r="A821" s="12"/>
      <c r="B821" s="13"/>
      <c r="C821" s="13"/>
      <c r="D821" s="13"/>
      <c r="E821" s="12"/>
      <c r="F821" s="13"/>
      <c r="G821" s="13"/>
      <c r="H821" s="13"/>
      <c r="I821" s="13"/>
      <c r="J821" s="15"/>
      <c r="K821" s="16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 spans="1:34" ht="13" x14ac:dyDescent="0.15">
      <c r="A822" s="12"/>
      <c r="B822" s="13"/>
      <c r="C822" s="13"/>
      <c r="D822" s="13"/>
      <c r="E822" s="12"/>
      <c r="F822" s="13"/>
      <c r="G822" s="13"/>
      <c r="H822" s="13"/>
      <c r="I822" s="13"/>
      <c r="J822" s="15"/>
      <c r="K822" s="16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 spans="1:34" ht="13" x14ac:dyDescent="0.15">
      <c r="A823" s="12"/>
      <c r="B823" s="13"/>
      <c r="C823" s="13"/>
      <c r="D823" s="13"/>
      <c r="E823" s="12"/>
      <c r="F823" s="13"/>
      <c r="G823" s="13"/>
      <c r="H823" s="13"/>
      <c r="I823" s="13"/>
      <c r="J823" s="15"/>
      <c r="K823" s="16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 spans="1:34" ht="13" x14ac:dyDescent="0.15">
      <c r="A824" s="12"/>
      <c r="B824" s="13"/>
      <c r="C824" s="13"/>
      <c r="D824" s="13"/>
      <c r="E824" s="12"/>
      <c r="F824" s="13"/>
      <c r="G824" s="13"/>
      <c r="H824" s="13"/>
      <c r="I824" s="13"/>
      <c r="J824" s="15"/>
      <c r="K824" s="16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 spans="1:34" ht="13" x14ac:dyDescent="0.15">
      <c r="A825" s="12"/>
      <c r="B825" s="13"/>
      <c r="C825" s="13"/>
      <c r="D825" s="13"/>
      <c r="E825" s="12"/>
      <c r="F825" s="13"/>
      <c r="G825" s="13"/>
      <c r="H825" s="13"/>
      <c r="I825" s="13"/>
      <c r="J825" s="15"/>
      <c r="K825" s="16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 spans="1:34" ht="13" x14ac:dyDescent="0.15">
      <c r="A826" s="12"/>
      <c r="B826" s="13"/>
      <c r="C826" s="13"/>
      <c r="D826" s="13"/>
      <c r="E826" s="12"/>
      <c r="F826" s="13"/>
      <c r="G826" s="13"/>
      <c r="H826" s="13"/>
      <c r="I826" s="13"/>
      <c r="J826" s="15"/>
      <c r="K826" s="16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 spans="1:34" ht="13" x14ac:dyDescent="0.15">
      <c r="A827" s="12"/>
      <c r="B827" s="13"/>
      <c r="C827" s="13"/>
      <c r="D827" s="13"/>
      <c r="E827" s="12"/>
      <c r="F827" s="13"/>
      <c r="G827" s="13"/>
      <c r="H827" s="13"/>
      <c r="I827" s="13"/>
      <c r="J827" s="15"/>
      <c r="K827" s="16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 spans="1:34" ht="13" x14ac:dyDescent="0.15">
      <c r="A828" s="12"/>
      <c r="B828" s="13"/>
      <c r="C828" s="13"/>
      <c r="D828" s="13"/>
      <c r="E828" s="12"/>
      <c r="F828" s="13"/>
      <c r="G828" s="13"/>
      <c r="H828" s="13"/>
      <c r="I828" s="13"/>
      <c r="J828" s="15"/>
      <c r="K828" s="16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 spans="1:34" ht="13" x14ac:dyDescent="0.15">
      <c r="A829" s="12"/>
      <c r="B829" s="13"/>
      <c r="C829" s="13"/>
      <c r="D829" s="13"/>
      <c r="E829" s="12"/>
      <c r="F829" s="13"/>
      <c r="G829" s="13"/>
      <c r="H829" s="13"/>
      <c r="I829" s="13"/>
      <c r="J829" s="15"/>
      <c r="K829" s="16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 spans="1:34" ht="13" x14ac:dyDescent="0.15">
      <c r="A830" s="12"/>
      <c r="B830" s="13"/>
      <c r="C830" s="13"/>
      <c r="D830" s="13"/>
      <c r="E830" s="12"/>
      <c r="F830" s="13"/>
      <c r="G830" s="13"/>
      <c r="H830" s="13"/>
      <c r="I830" s="13"/>
      <c r="J830" s="15"/>
      <c r="K830" s="16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 spans="1:34" ht="13" x14ac:dyDescent="0.15">
      <c r="A831" s="12"/>
      <c r="B831" s="13"/>
      <c r="C831" s="13"/>
      <c r="D831" s="13"/>
      <c r="E831" s="12"/>
      <c r="F831" s="13"/>
      <c r="G831" s="13"/>
      <c r="H831" s="13"/>
      <c r="I831" s="13"/>
      <c r="J831" s="15"/>
      <c r="K831" s="16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 spans="1:34" ht="13" x14ac:dyDescent="0.15">
      <c r="A832" s="12"/>
      <c r="B832" s="13"/>
      <c r="C832" s="13"/>
      <c r="D832" s="13"/>
      <c r="E832" s="12"/>
      <c r="F832" s="13"/>
      <c r="G832" s="13"/>
      <c r="H832" s="13"/>
      <c r="I832" s="13"/>
      <c r="J832" s="15"/>
      <c r="K832" s="16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 spans="1:34" ht="13" x14ac:dyDescent="0.15">
      <c r="A833" s="12"/>
      <c r="B833" s="13"/>
      <c r="C833" s="13"/>
      <c r="D833" s="13"/>
      <c r="E833" s="12"/>
      <c r="F833" s="13"/>
      <c r="G833" s="13"/>
      <c r="H833" s="13"/>
      <c r="I833" s="13"/>
      <c r="J833" s="15"/>
      <c r="K833" s="16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 spans="1:34" ht="13" x14ac:dyDescent="0.15">
      <c r="A834" s="12"/>
      <c r="B834" s="13"/>
      <c r="C834" s="13"/>
      <c r="D834" s="13"/>
      <c r="E834" s="12"/>
      <c r="F834" s="13"/>
      <c r="G834" s="13"/>
      <c r="H834" s="13"/>
      <c r="I834" s="13"/>
      <c r="J834" s="15"/>
      <c r="K834" s="16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 spans="1:34" ht="13" x14ac:dyDescent="0.15">
      <c r="A835" s="12"/>
      <c r="B835" s="13"/>
      <c r="C835" s="13"/>
      <c r="D835" s="13"/>
      <c r="E835" s="12"/>
      <c r="F835" s="13"/>
      <c r="G835" s="13"/>
      <c r="H835" s="13"/>
      <c r="I835" s="13"/>
      <c r="J835" s="15"/>
      <c r="K835" s="16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 spans="1:34" ht="13" x14ac:dyDescent="0.15">
      <c r="A836" s="12"/>
      <c r="B836" s="13"/>
      <c r="C836" s="13"/>
      <c r="D836" s="13"/>
      <c r="E836" s="12"/>
      <c r="F836" s="13"/>
      <c r="G836" s="13"/>
      <c r="H836" s="13"/>
      <c r="I836" s="13"/>
      <c r="J836" s="15"/>
      <c r="K836" s="16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 spans="1:34" ht="13" x14ac:dyDescent="0.15">
      <c r="A837" s="12"/>
      <c r="B837" s="13"/>
      <c r="C837" s="13"/>
      <c r="D837" s="13"/>
      <c r="E837" s="12"/>
      <c r="F837" s="13"/>
      <c r="G837" s="13"/>
      <c r="H837" s="13"/>
      <c r="I837" s="13"/>
      <c r="J837" s="15"/>
      <c r="K837" s="16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 spans="1:34" ht="13" x14ac:dyDescent="0.15">
      <c r="A838" s="12"/>
      <c r="B838" s="13"/>
      <c r="C838" s="13"/>
      <c r="D838" s="13"/>
      <c r="E838" s="12"/>
      <c r="F838" s="13"/>
      <c r="G838" s="13"/>
      <c r="H838" s="13"/>
      <c r="I838" s="13"/>
      <c r="J838" s="15"/>
      <c r="K838" s="16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 spans="1:34" ht="13" x14ac:dyDescent="0.15">
      <c r="A839" s="12"/>
      <c r="B839" s="13"/>
      <c r="C839" s="13"/>
      <c r="D839" s="13"/>
      <c r="E839" s="12"/>
      <c r="F839" s="13"/>
      <c r="G839" s="13"/>
      <c r="H839" s="13"/>
      <c r="I839" s="13"/>
      <c r="J839" s="15"/>
      <c r="K839" s="16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 spans="1:34" ht="13" x14ac:dyDescent="0.15">
      <c r="A840" s="12"/>
      <c r="B840" s="13"/>
      <c r="C840" s="13"/>
      <c r="D840" s="13"/>
      <c r="E840" s="12"/>
      <c r="F840" s="13"/>
      <c r="G840" s="13"/>
      <c r="H840" s="13"/>
      <c r="I840" s="13"/>
      <c r="J840" s="15"/>
      <c r="K840" s="16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 spans="1:34" ht="13" x14ac:dyDescent="0.15">
      <c r="A841" s="12"/>
      <c r="B841" s="13"/>
      <c r="C841" s="13"/>
      <c r="D841" s="13"/>
      <c r="E841" s="12"/>
      <c r="F841" s="13"/>
      <c r="G841" s="13"/>
      <c r="H841" s="13"/>
      <c r="I841" s="13"/>
      <c r="J841" s="15"/>
      <c r="K841" s="16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 spans="1:34" ht="13" x14ac:dyDescent="0.15">
      <c r="A842" s="12"/>
      <c r="B842" s="13"/>
      <c r="C842" s="13"/>
      <c r="D842" s="13"/>
      <c r="E842" s="12"/>
      <c r="F842" s="13"/>
      <c r="G842" s="13"/>
      <c r="H842" s="13"/>
      <c r="I842" s="13"/>
      <c r="J842" s="15"/>
      <c r="K842" s="16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 spans="1:34" ht="13" x14ac:dyDescent="0.15">
      <c r="A843" s="12"/>
      <c r="B843" s="13"/>
      <c r="C843" s="13"/>
      <c r="D843" s="13"/>
      <c r="E843" s="12"/>
      <c r="F843" s="13"/>
      <c r="G843" s="13"/>
      <c r="H843" s="13"/>
      <c r="I843" s="13"/>
      <c r="J843" s="15"/>
      <c r="K843" s="16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 spans="1:34" ht="13" x14ac:dyDescent="0.15">
      <c r="A844" s="12"/>
      <c r="B844" s="13"/>
      <c r="C844" s="13"/>
      <c r="D844" s="13"/>
      <c r="E844" s="12"/>
      <c r="F844" s="13"/>
      <c r="G844" s="13"/>
      <c r="H844" s="13"/>
      <c r="I844" s="13"/>
      <c r="J844" s="15"/>
      <c r="K844" s="16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 spans="1:34" ht="13" x14ac:dyDescent="0.15">
      <c r="A845" s="12"/>
      <c r="B845" s="13"/>
      <c r="C845" s="13"/>
      <c r="D845" s="13"/>
      <c r="E845" s="12"/>
      <c r="F845" s="13"/>
      <c r="G845" s="13"/>
      <c r="H845" s="13"/>
      <c r="I845" s="13"/>
      <c r="J845" s="15"/>
      <c r="K845" s="16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 spans="1:34" ht="13" x14ac:dyDescent="0.15">
      <c r="A846" s="12"/>
      <c r="B846" s="13"/>
      <c r="C846" s="13"/>
      <c r="D846" s="13"/>
      <c r="E846" s="12"/>
      <c r="F846" s="13"/>
      <c r="G846" s="13"/>
      <c r="H846" s="13"/>
      <c r="I846" s="13"/>
      <c r="J846" s="15"/>
      <c r="K846" s="16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 spans="1:34" ht="13" x14ac:dyDescent="0.15">
      <c r="A847" s="12"/>
      <c r="B847" s="13"/>
      <c r="C847" s="13"/>
      <c r="D847" s="13"/>
      <c r="E847" s="12"/>
      <c r="F847" s="13"/>
      <c r="G847" s="13"/>
      <c r="H847" s="13"/>
      <c r="I847" s="13"/>
      <c r="J847" s="15"/>
      <c r="K847" s="16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 spans="1:34" ht="13" x14ac:dyDescent="0.15">
      <c r="A848" s="12"/>
      <c r="B848" s="13"/>
      <c r="C848" s="13"/>
      <c r="D848" s="13"/>
      <c r="E848" s="12"/>
      <c r="F848" s="13"/>
      <c r="G848" s="13"/>
      <c r="H848" s="13"/>
      <c r="I848" s="13"/>
      <c r="J848" s="15"/>
      <c r="K848" s="16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 spans="1:34" ht="13" x14ac:dyDescent="0.15">
      <c r="A849" s="12"/>
      <c r="B849" s="13"/>
      <c r="C849" s="13"/>
      <c r="D849" s="13"/>
      <c r="E849" s="12"/>
      <c r="F849" s="13"/>
      <c r="G849" s="13"/>
      <c r="H849" s="13"/>
      <c r="I849" s="13"/>
      <c r="J849" s="15"/>
      <c r="K849" s="16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 spans="1:34" ht="13" x14ac:dyDescent="0.15">
      <c r="A850" s="12"/>
      <c r="B850" s="13"/>
      <c r="C850" s="13"/>
      <c r="D850" s="13"/>
      <c r="E850" s="12"/>
      <c r="F850" s="13"/>
      <c r="G850" s="13"/>
      <c r="H850" s="13"/>
      <c r="I850" s="13"/>
      <c r="J850" s="15"/>
      <c r="K850" s="16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 spans="1:34" ht="13" x14ac:dyDescent="0.15">
      <c r="A851" s="12"/>
      <c r="B851" s="13"/>
      <c r="C851" s="13"/>
      <c r="D851" s="13"/>
      <c r="E851" s="12"/>
      <c r="F851" s="13"/>
      <c r="G851" s="13"/>
      <c r="H851" s="13"/>
      <c r="I851" s="13"/>
      <c r="J851" s="15"/>
      <c r="K851" s="16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 spans="1:34" ht="13" x14ac:dyDescent="0.15">
      <c r="A852" s="12"/>
      <c r="B852" s="13"/>
      <c r="C852" s="13"/>
      <c r="D852" s="13"/>
      <c r="E852" s="12"/>
      <c r="F852" s="13"/>
      <c r="G852" s="13"/>
      <c r="H852" s="13"/>
      <c r="I852" s="13"/>
      <c r="J852" s="15"/>
      <c r="K852" s="16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 spans="1:34" ht="13" x14ac:dyDescent="0.15">
      <c r="A853" s="12"/>
      <c r="B853" s="13"/>
      <c r="C853" s="13"/>
      <c r="D853" s="13"/>
      <c r="E853" s="12"/>
      <c r="F853" s="13"/>
      <c r="G853" s="13"/>
      <c r="H853" s="13"/>
      <c r="I853" s="13"/>
      <c r="J853" s="15"/>
      <c r="K853" s="16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 spans="1:34" ht="13" x14ac:dyDescent="0.15">
      <c r="A854" s="12"/>
      <c r="B854" s="13"/>
      <c r="C854" s="13"/>
      <c r="D854" s="13"/>
      <c r="E854" s="12"/>
      <c r="F854" s="13"/>
      <c r="G854" s="13"/>
      <c r="H854" s="13"/>
      <c r="I854" s="13"/>
      <c r="J854" s="15"/>
      <c r="K854" s="16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 spans="1:34" ht="13" x14ac:dyDescent="0.15">
      <c r="A855" s="12"/>
      <c r="B855" s="13"/>
      <c r="C855" s="13"/>
      <c r="D855" s="13"/>
      <c r="E855" s="12"/>
      <c r="F855" s="13"/>
      <c r="G855" s="13"/>
      <c r="H855" s="13"/>
      <c r="I855" s="13"/>
      <c r="J855" s="15"/>
      <c r="K855" s="16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 spans="1:34" ht="13" x14ac:dyDescent="0.15">
      <c r="A856" s="12"/>
      <c r="B856" s="13"/>
      <c r="C856" s="13"/>
      <c r="D856" s="13"/>
      <c r="E856" s="12"/>
      <c r="F856" s="13"/>
      <c r="G856" s="13"/>
      <c r="H856" s="13"/>
      <c r="I856" s="13"/>
      <c r="J856" s="15"/>
      <c r="K856" s="16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 spans="1:34" ht="13" x14ac:dyDescent="0.15">
      <c r="A857" s="12"/>
      <c r="B857" s="13"/>
      <c r="C857" s="13"/>
      <c r="D857" s="13"/>
      <c r="E857" s="12"/>
      <c r="F857" s="13"/>
      <c r="G857" s="13"/>
      <c r="H857" s="13"/>
      <c r="I857" s="13"/>
      <c r="J857" s="15"/>
      <c r="K857" s="16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 spans="1:34" ht="13" x14ac:dyDescent="0.15">
      <c r="A858" s="12"/>
      <c r="B858" s="13"/>
      <c r="C858" s="13"/>
      <c r="D858" s="13"/>
      <c r="E858" s="12"/>
      <c r="F858" s="13"/>
      <c r="G858" s="13"/>
      <c r="H858" s="13"/>
      <c r="I858" s="13"/>
      <c r="J858" s="15"/>
      <c r="K858" s="16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 spans="1:34" ht="13" x14ac:dyDescent="0.15">
      <c r="A859" s="12"/>
      <c r="B859" s="13"/>
      <c r="C859" s="13"/>
      <c r="D859" s="13"/>
      <c r="E859" s="12"/>
      <c r="F859" s="13"/>
      <c r="G859" s="13"/>
      <c r="H859" s="13"/>
      <c r="I859" s="13"/>
      <c r="J859" s="15"/>
      <c r="K859" s="16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 spans="1:34" ht="13" x14ac:dyDescent="0.15">
      <c r="A860" s="12"/>
      <c r="B860" s="13"/>
      <c r="C860" s="13"/>
      <c r="D860" s="13"/>
      <c r="E860" s="12"/>
      <c r="F860" s="13"/>
      <c r="G860" s="13"/>
      <c r="H860" s="13"/>
      <c r="I860" s="13"/>
      <c r="J860" s="15"/>
      <c r="K860" s="16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 spans="1:34" ht="13" x14ac:dyDescent="0.15">
      <c r="A861" s="12"/>
      <c r="B861" s="13"/>
      <c r="C861" s="13"/>
      <c r="D861" s="13"/>
      <c r="E861" s="12"/>
      <c r="F861" s="13"/>
      <c r="G861" s="13"/>
      <c r="H861" s="13"/>
      <c r="I861" s="13"/>
      <c r="J861" s="15"/>
      <c r="K861" s="16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 spans="1:34" ht="13" x14ac:dyDescent="0.15">
      <c r="A862" s="12"/>
      <c r="B862" s="13"/>
      <c r="C862" s="13"/>
      <c r="D862" s="13"/>
      <c r="E862" s="12"/>
      <c r="F862" s="13"/>
      <c r="G862" s="13"/>
      <c r="H862" s="13"/>
      <c r="I862" s="13"/>
      <c r="J862" s="15"/>
      <c r="K862" s="16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 spans="1:34" ht="13" x14ac:dyDescent="0.15">
      <c r="A863" s="12"/>
      <c r="B863" s="13"/>
      <c r="C863" s="13"/>
      <c r="D863" s="13"/>
      <c r="E863" s="12"/>
      <c r="F863" s="13"/>
      <c r="G863" s="13"/>
      <c r="H863" s="13"/>
      <c r="I863" s="13"/>
      <c r="J863" s="15"/>
      <c r="K863" s="16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 spans="1:34" ht="13" x14ac:dyDescent="0.15">
      <c r="A864" s="12"/>
      <c r="B864" s="13"/>
      <c r="C864" s="13"/>
      <c r="D864" s="13"/>
      <c r="E864" s="12"/>
      <c r="F864" s="13"/>
      <c r="G864" s="13"/>
      <c r="H864" s="13"/>
      <c r="I864" s="13"/>
      <c r="J864" s="15"/>
      <c r="K864" s="16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 spans="1:34" ht="13" x14ac:dyDescent="0.15">
      <c r="A865" s="12"/>
      <c r="B865" s="13"/>
      <c r="C865" s="13"/>
      <c r="D865" s="13"/>
      <c r="E865" s="12"/>
      <c r="F865" s="13"/>
      <c r="G865" s="13"/>
      <c r="H865" s="13"/>
      <c r="I865" s="13"/>
      <c r="J865" s="15"/>
      <c r="K865" s="16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 spans="1:34" ht="13" x14ac:dyDescent="0.15">
      <c r="A866" s="12"/>
      <c r="B866" s="13"/>
      <c r="C866" s="13"/>
      <c r="D866" s="13"/>
      <c r="E866" s="12"/>
      <c r="F866" s="13"/>
      <c r="G866" s="13"/>
      <c r="H866" s="13"/>
      <c r="I866" s="13"/>
      <c r="J866" s="15"/>
      <c r="K866" s="16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 spans="1:34" ht="13" x14ac:dyDescent="0.15">
      <c r="A867" s="12"/>
      <c r="B867" s="13"/>
      <c r="C867" s="13"/>
      <c r="D867" s="13"/>
      <c r="E867" s="12"/>
      <c r="F867" s="13"/>
      <c r="G867" s="13"/>
      <c r="H867" s="13"/>
      <c r="I867" s="13"/>
      <c r="J867" s="15"/>
      <c r="K867" s="16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 spans="1:34" ht="13" x14ac:dyDescent="0.15">
      <c r="A868" s="12"/>
      <c r="B868" s="13"/>
      <c r="C868" s="13"/>
      <c r="D868" s="13"/>
      <c r="E868" s="12"/>
      <c r="F868" s="13"/>
      <c r="G868" s="13"/>
      <c r="H868" s="13"/>
      <c r="I868" s="13"/>
      <c r="J868" s="15"/>
      <c r="K868" s="16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 spans="1:34" ht="13" x14ac:dyDescent="0.15">
      <c r="A869" s="12"/>
      <c r="B869" s="13"/>
      <c r="C869" s="13"/>
      <c r="D869" s="13"/>
      <c r="E869" s="12"/>
      <c r="F869" s="13"/>
      <c r="G869" s="13"/>
      <c r="H869" s="13"/>
      <c r="I869" s="13"/>
      <c r="J869" s="15"/>
      <c r="K869" s="16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 spans="1:34" ht="13" x14ac:dyDescent="0.15">
      <c r="A870" s="12"/>
      <c r="B870" s="13"/>
      <c r="C870" s="13"/>
      <c r="D870" s="13"/>
      <c r="E870" s="12"/>
      <c r="F870" s="13"/>
      <c r="G870" s="13"/>
      <c r="H870" s="13"/>
      <c r="I870" s="13"/>
      <c r="J870" s="15"/>
      <c r="K870" s="16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 spans="1:34" ht="13" x14ac:dyDescent="0.15">
      <c r="A871" s="12"/>
      <c r="B871" s="13"/>
      <c r="C871" s="13"/>
      <c r="D871" s="13"/>
      <c r="E871" s="12"/>
      <c r="F871" s="13"/>
      <c r="G871" s="13"/>
      <c r="H871" s="13"/>
      <c r="I871" s="13"/>
      <c r="J871" s="15"/>
      <c r="K871" s="16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 spans="1:34" ht="13" x14ac:dyDescent="0.15">
      <c r="A872" s="12"/>
      <c r="B872" s="13"/>
      <c r="C872" s="13"/>
      <c r="D872" s="13"/>
      <c r="E872" s="12"/>
      <c r="F872" s="13"/>
      <c r="G872" s="13"/>
      <c r="H872" s="13"/>
      <c r="I872" s="13"/>
      <c r="J872" s="15"/>
      <c r="K872" s="16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 spans="1:34" ht="13" x14ac:dyDescent="0.15">
      <c r="A873" s="12"/>
      <c r="B873" s="13"/>
      <c r="C873" s="13"/>
      <c r="D873" s="13"/>
      <c r="E873" s="12"/>
      <c r="F873" s="13"/>
      <c r="G873" s="13"/>
      <c r="H873" s="13"/>
      <c r="I873" s="13"/>
      <c r="J873" s="15"/>
      <c r="K873" s="16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 spans="1:34" ht="13" x14ac:dyDescent="0.15">
      <c r="A874" s="12"/>
      <c r="B874" s="13"/>
      <c r="C874" s="13"/>
      <c r="D874" s="13"/>
      <c r="E874" s="12"/>
      <c r="F874" s="13"/>
      <c r="G874" s="13"/>
      <c r="H874" s="13"/>
      <c r="I874" s="13"/>
      <c r="J874" s="15"/>
      <c r="K874" s="16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 spans="1:34" ht="13" x14ac:dyDescent="0.15">
      <c r="A875" s="12"/>
      <c r="B875" s="13"/>
      <c r="C875" s="13"/>
      <c r="D875" s="13"/>
      <c r="E875" s="12"/>
      <c r="F875" s="13"/>
      <c r="G875" s="13"/>
      <c r="H875" s="13"/>
      <c r="I875" s="13"/>
      <c r="J875" s="15"/>
      <c r="K875" s="16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 spans="1:34" ht="13" x14ac:dyDescent="0.15">
      <c r="A876" s="12"/>
      <c r="B876" s="13"/>
      <c r="C876" s="13"/>
      <c r="D876" s="13"/>
      <c r="E876" s="12"/>
      <c r="F876" s="13"/>
      <c r="G876" s="13"/>
      <c r="H876" s="13"/>
      <c r="I876" s="13"/>
      <c r="J876" s="15"/>
      <c r="K876" s="16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 spans="1:34" ht="13" x14ac:dyDescent="0.15">
      <c r="A877" s="12"/>
      <c r="B877" s="13"/>
      <c r="C877" s="13"/>
      <c r="D877" s="13"/>
      <c r="E877" s="12"/>
      <c r="F877" s="13"/>
      <c r="G877" s="13"/>
      <c r="H877" s="13"/>
      <c r="I877" s="13"/>
      <c r="J877" s="15"/>
      <c r="K877" s="16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 spans="1:34" ht="13" x14ac:dyDescent="0.15">
      <c r="A878" s="12"/>
      <c r="B878" s="13"/>
      <c r="C878" s="13"/>
      <c r="D878" s="13"/>
      <c r="E878" s="12"/>
      <c r="F878" s="13"/>
      <c r="G878" s="13"/>
      <c r="H878" s="13"/>
      <c r="I878" s="13"/>
      <c r="J878" s="15"/>
      <c r="K878" s="16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 spans="1:34" ht="13" x14ac:dyDescent="0.15">
      <c r="A879" s="12"/>
      <c r="B879" s="13"/>
      <c r="C879" s="13"/>
      <c r="D879" s="13"/>
      <c r="E879" s="12"/>
      <c r="F879" s="13"/>
      <c r="G879" s="13"/>
      <c r="H879" s="13"/>
      <c r="I879" s="13"/>
      <c r="J879" s="15"/>
      <c r="K879" s="16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 spans="1:34" ht="13" x14ac:dyDescent="0.15">
      <c r="A880" s="12"/>
      <c r="B880" s="13"/>
      <c r="C880" s="13"/>
      <c r="D880" s="13"/>
      <c r="E880" s="12"/>
      <c r="F880" s="13"/>
      <c r="G880" s="13"/>
      <c r="H880" s="13"/>
      <c r="I880" s="13"/>
      <c r="J880" s="15"/>
      <c r="K880" s="16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 spans="1:34" ht="13" x14ac:dyDescent="0.15">
      <c r="A881" s="12"/>
      <c r="B881" s="13"/>
      <c r="C881" s="13"/>
      <c r="D881" s="13"/>
      <c r="E881" s="12"/>
      <c r="F881" s="13"/>
      <c r="G881" s="13"/>
      <c r="H881" s="13"/>
      <c r="I881" s="13"/>
      <c r="J881" s="15"/>
      <c r="K881" s="16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 spans="1:34" ht="13" x14ac:dyDescent="0.15">
      <c r="A882" s="12"/>
      <c r="B882" s="13"/>
      <c r="C882" s="13"/>
      <c r="D882" s="13"/>
      <c r="E882" s="12"/>
      <c r="F882" s="13"/>
      <c r="G882" s="13"/>
      <c r="H882" s="13"/>
      <c r="I882" s="13"/>
      <c r="J882" s="15"/>
      <c r="K882" s="16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 spans="1:34" ht="13" x14ac:dyDescent="0.15">
      <c r="A883" s="12"/>
      <c r="B883" s="13"/>
      <c r="C883" s="13"/>
      <c r="D883" s="13"/>
      <c r="E883" s="12"/>
      <c r="F883" s="13"/>
      <c r="G883" s="13"/>
      <c r="H883" s="13"/>
      <c r="I883" s="13"/>
      <c r="J883" s="15"/>
      <c r="K883" s="16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 spans="1:34" ht="13" x14ac:dyDescent="0.15">
      <c r="A884" s="12"/>
      <c r="B884" s="13"/>
      <c r="C884" s="13"/>
      <c r="D884" s="13"/>
      <c r="E884" s="12"/>
      <c r="F884" s="13"/>
      <c r="G884" s="13"/>
      <c r="H884" s="13"/>
      <c r="I884" s="13"/>
      <c r="J884" s="15"/>
      <c r="K884" s="16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 spans="1:34" ht="13" x14ac:dyDescent="0.15">
      <c r="A885" s="12"/>
      <c r="B885" s="13"/>
      <c r="C885" s="13"/>
      <c r="D885" s="13"/>
      <c r="E885" s="12"/>
      <c r="F885" s="13"/>
      <c r="G885" s="13"/>
      <c r="H885" s="13"/>
      <c r="I885" s="13"/>
      <c r="J885" s="15"/>
      <c r="K885" s="16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 spans="1:34" ht="13" x14ac:dyDescent="0.15">
      <c r="A886" s="12"/>
      <c r="B886" s="13"/>
      <c r="C886" s="13"/>
      <c r="D886" s="13"/>
      <c r="E886" s="12"/>
      <c r="F886" s="13"/>
      <c r="G886" s="13"/>
      <c r="H886" s="13"/>
      <c r="I886" s="13"/>
      <c r="J886" s="15"/>
      <c r="K886" s="16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 spans="1:34" ht="13" x14ac:dyDescent="0.15">
      <c r="A887" s="12"/>
      <c r="B887" s="13"/>
      <c r="C887" s="13"/>
      <c r="D887" s="13"/>
      <c r="E887" s="12"/>
      <c r="F887" s="13"/>
      <c r="G887" s="13"/>
      <c r="H887" s="13"/>
      <c r="I887" s="13"/>
      <c r="J887" s="15"/>
      <c r="K887" s="16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 spans="1:34" ht="13" x14ac:dyDescent="0.15">
      <c r="A888" s="12"/>
      <c r="B888" s="13"/>
      <c r="C888" s="13"/>
      <c r="D888" s="13"/>
      <c r="E888" s="12"/>
      <c r="F888" s="13"/>
      <c r="G888" s="13"/>
      <c r="H888" s="13"/>
      <c r="I888" s="13"/>
      <c r="J888" s="15"/>
      <c r="K888" s="16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 spans="1:34" ht="13" x14ac:dyDescent="0.15">
      <c r="A889" s="12"/>
      <c r="B889" s="13"/>
      <c r="C889" s="13"/>
      <c r="D889" s="13"/>
      <c r="E889" s="12"/>
      <c r="F889" s="13"/>
      <c r="G889" s="13"/>
      <c r="H889" s="13"/>
      <c r="I889" s="13"/>
      <c r="J889" s="15"/>
      <c r="K889" s="16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 spans="1:34" ht="13" x14ac:dyDescent="0.15">
      <c r="A890" s="12"/>
      <c r="B890" s="13"/>
      <c r="C890" s="13"/>
      <c r="D890" s="13"/>
      <c r="E890" s="12"/>
      <c r="F890" s="13"/>
      <c r="G890" s="13"/>
      <c r="H890" s="13"/>
      <c r="I890" s="13"/>
      <c r="J890" s="15"/>
      <c r="K890" s="16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 spans="1:34" ht="13" x14ac:dyDescent="0.15">
      <c r="A891" s="12"/>
      <c r="B891" s="13"/>
      <c r="C891" s="13"/>
      <c r="D891" s="13"/>
      <c r="E891" s="12"/>
      <c r="F891" s="13"/>
      <c r="G891" s="13"/>
      <c r="H891" s="13"/>
      <c r="I891" s="13"/>
      <c r="J891" s="15"/>
      <c r="K891" s="16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 spans="1:34" ht="13" x14ac:dyDescent="0.15">
      <c r="A892" s="12"/>
      <c r="B892" s="13"/>
      <c r="C892" s="13"/>
      <c r="D892" s="13"/>
      <c r="E892" s="12"/>
      <c r="F892" s="13"/>
      <c r="G892" s="13"/>
      <c r="H892" s="13"/>
      <c r="I892" s="13"/>
      <c r="J892" s="15"/>
      <c r="K892" s="16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 spans="1:34" ht="13" x14ac:dyDescent="0.15">
      <c r="A893" s="12"/>
      <c r="B893" s="13"/>
      <c r="C893" s="13"/>
      <c r="D893" s="13"/>
      <c r="E893" s="12"/>
      <c r="F893" s="13"/>
      <c r="G893" s="13"/>
      <c r="H893" s="13"/>
      <c r="I893" s="13"/>
      <c r="J893" s="15"/>
      <c r="K893" s="16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 spans="1:34" ht="13" x14ac:dyDescent="0.15">
      <c r="A894" s="12"/>
      <c r="B894" s="13"/>
      <c r="C894" s="13"/>
      <c r="D894" s="13"/>
      <c r="E894" s="12"/>
      <c r="F894" s="13"/>
      <c r="G894" s="13"/>
      <c r="H894" s="13"/>
      <c r="I894" s="13"/>
      <c r="J894" s="15"/>
      <c r="K894" s="16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 spans="1:34" ht="13" x14ac:dyDescent="0.15">
      <c r="A895" s="12"/>
      <c r="B895" s="13"/>
      <c r="C895" s="13"/>
      <c r="D895" s="13"/>
      <c r="E895" s="12"/>
      <c r="F895" s="13"/>
      <c r="G895" s="13"/>
      <c r="H895" s="13"/>
      <c r="I895" s="13"/>
      <c r="J895" s="15"/>
      <c r="K895" s="16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 spans="1:34" ht="13" x14ac:dyDescent="0.15">
      <c r="A896" s="12"/>
      <c r="B896" s="13"/>
      <c r="C896" s="13"/>
      <c r="D896" s="13"/>
      <c r="E896" s="12"/>
      <c r="F896" s="13"/>
      <c r="G896" s="13"/>
      <c r="H896" s="13"/>
      <c r="I896" s="13"/>
      <c r="J896" s="15"/>
      <c r="K896" s="16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 spans="1:34" ht="13" x14ac:dyDescent="0.15">
      <c r="A897" s="12"/>
      <c r="B897" s="13"/>
      <c r="C897" s="13"/>
      <c r="D897" s="13"/>
      <c r="E897" s="12"/>
      <c r="F897" s="13"/>
      <c r="G897" s="13"/>
      <c r="H897" s="13"/>
      <c r="I897" s="13"/>
      <c r="J897" s="15"/>
      <c r="K897" s="16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 spans="1:34" ht="13" x14ac:dyDescent="0.15">
      <c r="A898" s="12"/>
      <c r="B898" s="13"/>
      <c r="C898" s="13"/>
      <c r="D898" s="13"/>
      <c r="E898" s="12"/>
      <c r="F898" s="13"/>
      <c r="G898" s="13"/>
      <c r="H898" s="13"/>
      <c r="I898" s="13"/>
      <c r="J898" s="15"/>
      <c r="K898" s="16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 spans="1:34" ht="13" x14ac:dyDescent="0.15">
      <c r="A899" s="12"/>
      <c r="B899" s="13"/>
      <c r="C899" s="13"/>
      <c r="D899" s="13"/>
      <c r="E899" s="12"/>
      <c r="F899" s="13"/>
      <c r="G899" s="13"/>
      <c r="H899" s="13"/>
      <c r="I899" s="13"/>
      <c r="J899" s="15"/>
      <c r="K899" s="16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 spans="1:34" ht="13" x14ac:dyDescent="0.15">
      <c r="A900" s="12"/>
      <c r="B900" s="13"/>
      <c r="C900" s="13"/>
      <c r="D900" s="13"/>
      <c r="E900" s="12"/>
      <c r="F900" s="13"/>
      <c r="G900" s="13"/>
      <c r="H900" s="13"/>
      <c r="I900" s="13"/>
      <c r="J900" s="15"/>
      <c r="K900" s="16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 spans="1:34" ht="13" x14ac:dyDescent="0.15">
      <c r="A901" s="12"/>
      <c r="B901" s="13"/>
      <c r="C901" s="13"/>
      <c r="D901" s="13"/>
      <c r="E901" s="12"/>
      <c r="F901" s="13"/>
      <c r="G901" s="13"/>
      <c r="H901" s="13"/>
      <c r="I901" s="13"/>
      <c r="J901" s="15"/>
      <c r="K901" s="16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 spans="1:34" ht="13" x14ac:dyDescent="0.15">
      <c r="A902" s="12"/>
      <c r="B902" s="13"/>
      <c r="C902" s="13"/>
      <c r="D902" s="13"/>
      <c r="E902" s="12"/>
      <c r="F902" s="13"/>
      <c r="G902" s="13"/>
      <c r="H902" s="13"/>
      <c r="I902" s="13"/>
      <c r="J902" s="15"/>
      <c r="K902" s="16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 spans="1:34" ht="13" x14ac:dyDescent="0.15">
      <c r="A903" s="12"/>
      <c r="B903" s="13"/>
      <c r="C903" s="13"/>
      <c r="D903" s="13"/>
      <c r="E903" s="12"/>
      <c r="F903" s="13"/>
      <c r="G903" s="13"/>
      <c r="H903" s="13"/>
      <c r="I903" s="13"/>
      <c r="J903" s="15"/>
      <c r="K903" s="16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 spans="1:34" ht="13" x14ac:dyDescent="0.15">
      <c r="A904" s="12"/>
      <c r="B904" s="13"/>
      <c r="C904" s="13"/>
      <c r="D904" s="13"/>
      <c r="E904" s="12"/>
      <c r="F904" s="13"/>
      <c r="G904" s="13"/>
      <c r="H904" s="13"/>
      <c r="I904" s="13"/>
      <c r="J904" s="15"/>
      <c r="K904" s="16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 spans="1:34" ht="13" x14ac:dyDescent="0.15">
      <c r="A905" s="12"/>
      <c r="B905" s="13"/>
      <c r="C905" s="13"/>
      <c r="D905" s="13"/>
      <c r="E905" s="12"/>
      <c r="F905" s="13"/>
      <c r="G905" s="13"/>
      <c r="H905" s="13"/>
      <c r="I905" s="13"/>
      <c r="J905" s="15"/>
      <c r="K905" s="16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 spans="1:34" ht="13" x14ac:dyDescent="0.15">
      <c r="A906" s="12"/>
      <c r="B906" s="13"/>
      <c r="C906" s="13"/>
      <c r="D906" s="13"/>
      <c r="E906" s="12"/>
      <c r="F906" s="13"/>
      <c r="G906" s="13"/>
      <c r="H906" s="13"/>
      <c r="I906" s="13"/>
      <c r="J906" s="15"/>
      <c r="K906" s="16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 spans="1:34" ht="13" x14ac:dyDescent="0.15">
      <c r="A907" s="12"/>
      <c r="B907" s="13"/>
      <c r="C907" s="13"/>
      <c r="D907" s="13"/>
      <c r="E907" s="12"/>
      <c r="F907" s="13"/>
      <c r="G907" s="13"/>
      <c r="H907" s="13"/>
      <c r="I907" s="13"/>
      <c r="J907" s="15"/>
      <c r="K907" s="16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 spans="1:34" ht="13" x14ac:dyDescent="0.15">
      <c r="A908" s="12"/>
      <c r="B908" s="13"/>
      <c r="C908" s="13"/>
      <c r="D908" s="13"/>
      <c r="E908" s="12"/>
      <c r="F908" s="13"/>
      <c r="G908" s="13"/>
      <c r="H908" s="13"/>
      <c r="I908" s="13"/>
      <c r="J908" s="15"/>
      <c r="K908" s="16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 spans="1:34" ht="13" x14ac:dyDescent="0.15">
      <c r="A909" s="12"/>
      <c r="B909" s="13"/>
      <c r="C909" s="13"/>
      <c r="D909" s="13"/>
      <c r="E909" s="12"/>
      <c r="F909" s="13"/>
      <c r="G909" s="13"/>
      <c r="H909" s="13"/>
      <c r="I909" s="13"/>
      <c r="J909" s="15"/>
      <c r="K909" s="16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 spans="1:34" ht="13" x14ac:dyDescent="0.15">
      <c r="A910" s="12"/>
      <c r="B910" s="13"/>
      <c r="C910" s="13"/>
      <c r="D910" s="13"/>
      <c r="E910" s="12"/>
      <c r="F910" s="13"/>
      <c r="G910" s="13"/>
      <c r="H910" s="13"/>
      <c r="I910" s="13"/>
      <c r="J910" s="15"/>
      <c r="K910" s="16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 spans="1:34" ht="13" x14ac:dyDescent="0.15">
      <c r="A911" s="12"/>
      <c r="B911" s="13"/>
      <c r="C911" s="13"/>
      <c r="D911" s="13"/>
      <c r="E911" s="12"/>
      <c r="F911" s="13"/>
      <c r="G911" s="13"/>
      <c r="H911" s="13"/>
      <c r="I911" s="13"/>
      <c r="J911" s="15"/>
      <c r="K911" s="16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 spans="1:34" ht="13" x14ac:dyDescent="0.15">
      <c r="A912" s="12"/>
      <c r="B912" s="13"/>
      <c r="C912" s="13"/>
      <c r="D912" s="13"/>
      <c r="E912" s="12"/>
      <c r="F912" s="13"/>
      <c r="G912" s="13"/>
      <c r="H912" s="13"/>
      <c r="I912" s="13"/>
      <c r="J912" s="15"/>
      <c r="K912" s="16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 spans="1:34" ht="13" x14ac:dyDescent="0.15">
      <c r="A913" s="12"/>
      <c r="B913" s="13"/>
      <c r="C913" s="13"/>
      <c r="D913" s="13"/>
      <c r="E913" s="12"/>
      <c r="F913" s="13"/>
      <c r="G913" s="13"/>
      <c r="H913" s="13"/>
      <c r="I913" s="13"/>
      <c r="J913" s="15"/>
      <c r="K913" s="16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 spans="1:34" ht="13" x14ac:dyDescent="0.15">
      <c r="A914" s="12"/>
      <c r="B914" s="13"/>
      <c r="C914" s="13"/>
      <c r="D914" s="13"/>
      <c r="E914" s="12"/>
      <c r="F914" s="13"/>
      <c r="G914" s="13"/>
      <c r="H914" s="13"/>
      <c r="I914" s="13"/>
      <c r="J914" s="15"/>
      <c r="K914" s="16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 spans="1:34" ht="13" x14ac:dyDescent="0.15">
      <c r="A915" s="12"/>
      <c r="B915" s="13"/>
      <c r="C915" s="13"/>
      <c r="D915" s="13"/>
      <c r="E915" s="12"/>
      <c r="F915" s="13"/>
      <c r="G915" s="13"/>
      <c r="H915" s="13"/>
      <c r="I915" s="13"/>
      <c r="J915" s="15"/>
      <c r="K915" s="16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 spans="1:34" ht="13" x14ac:dyDescent="0.15">
      <c r="A916" s="12"/>
      <c r="B916" s="13"/>
      <c r="C916" s="13"/>
      <c r="D916" s="13"/>
      <c r="E916" s="12"/>
      <c r="F916" s="13"/>
      <c r="G916" s="13"/>
      <c r="H916" s="13"/>
      <c r="I916" s="13"/>
      <c r="J916" s="15"/>
      <c r="K916" s="16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 spans="1:34" ht="13" x14ac:dyDescent="0.15">
      <c r="A917" s="12"/>
      <c r="B917" s="13"/>
      <c r="C917" s="13"/>
      <c r="D917" s="13"/>
      <c r="E917" s="12"/>
      <c r="F917" s="13"/>
      <c r="G917" s="13"/>
      <c r="H917" s="13"/>
      <c r="I917" s="13"/>
      <c r="J917" s="15"/>
      <c r="K917" s="16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 spans="1:34" ht="13" x14ac:dyDescent="0.15">
      <c r="A918" s="12"/>
      <c r="B918" s="13"/>
      <c r="C918" s="13"/>
      <c r="D918" s="13"/>
      <c r="E918" s="12"/>
      <c r="F918" s="13"/>
      <c r="G918" s="13"/>
      <c r="H918" s="13"/>
      <c r="I918" s="13"/>
      <c r="J918" s="15"/>
      <c r="K918" s="16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 spans="1:34" ht="13" x14ac:dyDescent="0.15">
      <c r="A919" s="12"/>
      <c r="B919" s="13"/>
      <c r="C919" s="13"/>
      <c r="D919" s="13"/>
      <c r="E919" s="12"/>
      <c r="F919" s="13"/>
      <c r="G919" s="13"/>
      <c r="H919" s="13"/>
      <c r="I919" s="13"/>
      <c r="J919" s="15"/>
      <c r="K919" s="16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 spans="1:34" ht="13" x14ac:dyDescent="0.15">
      <c r="A920" s="12"/>
      <c r="B920" s="13"/>
      <c r="C920" s="13"/>
      <c r="D920" s="13"/>
      <c r="E920" s="12"/>
      <c r="F920" s="13"/>
      <c r="G920" s="13"/>
      <c r="H920" s="13"/>
      <c r="I920" s="13"/>
      <c r="J920" s="15"/>
      <c r="K920" s="16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 spans="1:34" ht="13" x14ac:dyDescent="0.15">
      <c r="A921" s="12"/>
      <c r="B921" s="13"/>
      <c r="C921" s="13"/>
      <c r="D921" s="13"/>
      <c r="E921" s="12"/>
      <c r="F921" s="13"/>
      <c r="G921" s="13"/>
      <c r="H921" s="13"/>
      <c r="I921" s="13"/>
      <c r="J921" s="15"/>
      <c r="K921" s="16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 spans="1:34" ht="13" x14ac:dyDescent="0.15">
      <c r="A922" s="12"/>
      <c r="B922" s="13"/>
      <c r="C922" s="13"/>
      <c r="D922" s="13"/>
      <c r="E922" s="12"/>
      <c r="F922" s="13"/>
      <c r="G922" s="13"/>
      <c r="H922" s="13"/>
      <c r="I922" s="13"/>
      <c r="J922" s="15"/>
      <c r="K922" s="16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 spans="1:34" ht="13" x14ac:dyDescent="0.15">
      <c r="A923" s="12"/>
      <c r="B923" s="13"/>
      <c r="C923" s="13"/>
      <c r="D923" s="13"/>
      <c r="E923" s="12"/>
      <c r="F923" s="13"/>
      <c r="G923" s="13"/>
      <c r="H923" s="13"/>
      <c r="I923" s="13"/>
      <c r="J923" s="15"/>
      <c r="K923" s="16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 spans="1:34" ht="13" x14ac:dyDescent="0.15">
      <c r="A924" s="12"/>
      <c r="B924" s="13"/>
      <c r="C924" s="13"/>
      <c r="D924" s="13"/>
      <c r="E924" s="12"/>
      <c r="F924" s="13"/>
      <c r="G924" s="13"/>
      <c r="H924" s="13"/>
      <c r="I924" s="13"/>
      <c r="J924" s="15"/>
      <c r="K924" s="16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 spans="1:34" ht="13" x14ac:dyDescent="0.15">
      <c r="A925" s="12"/>
      <c r="B925" s="13"/>
      <c r="C925" s="13"/>
      <c r="D925" s="13"/>
      <c r="E925" s="12"/>
      <c r="F925" s="13"/>
      <c r="G925" s="13"/>
      <c r="H925" s="13"/>
      <c r="I925" s="13"/>
      <c r="J925" s="15"/>
      <c r="K925" s="16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 spans="1:34" ht="13" x14ac:dyDescent="0.15">
      <c r="A926" s="12"/>
      <c r="B926" s="13"/>
      <c r="C926" s="13"/>
      <c r="D926" s="13"/>
      <c r="E926" s="12"/>
      <c r="F926" s="13"/>
      <c r="G926" s="13"/>
      <c r="H926" s="13"/>
      <c r="I926" s="13"/>
      <c r="J926" s="15"/>
      <c r="K926" s="16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 spans="1:34" ht="13" x14ac:dyDescent="0.15">
      <c r="A927" s="12"/>
      <c r="B927" s="13"/>
      <c r="C927" s="13"/>
      <c r="D927" s="13"/>
      <c r="E927" s="12"/>
      <c r="F927" s="13"/>
      <c r="G927" s="13"/>
      <c r="H927" s="13"/>
      <c r="I927" s="13"/>
      <c r="J927" s="15"/>
      <c r="K927" s="16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 spans="1:34" ht="13" x14ac:dyDescent="0.15">
      <c r="A928" s="12"/>
      <c r="B928" s="13"/>
      <c r="C928" s="13"/>
      <c r="D928" s="13"/>
      <c r="E928" s="12"/>
      <c r="F928" s="13"/>
      <c r="G928" s="13"/>
      <c r="H928" s="13"/>
      <c r="I928" s="13"/>
      <c r="J928" s="15"/>
      <c r="K928" s="16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 spans="1:34" ht="13" x14ac:dyDescent="0.15">
      <c r="A929" s="12"/>
      <c r="B929" s="13"/>
      <c r="C929" s="13"/>
      <c r="D929" s="13"/>
      <c r="E929" s="12"/>
      <c r="F929" s="13"/>
      <c r="G929" s="13"/>
      <c r="H929" s="13"/>
      <c r="I929" s="13"/>
      <c r="J929" s="15"/>
      <c r="K929" s="16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 spans="1:34" ht="13" x14ac:dyDescent="0.15">
      <c r="A930" s="12"/>
      <c r="B930" s="13"/>
      <c r="C930" s="13"/>
      <c r="D930" s="13"/>
      <c r="E930" s="12"/>
      <c r="F930" s="13"/>
      <c r="G930" s="13"/>
      <c r="H930" s="13"/>
      <c r="I930" s="13"/>
      <c r="J930" s="15"/>
      <c r="K930" s="16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 spans="1:34" ht="13" x14ac:dyDescent="0.15">
      <c r="A931" s="12"/>
      <c r="B931" s="13"/>
      <c r="C931" s="13"/>
      <c r="D931" s="13"/>
      <c r="E931" s="12"/>
      <c r="F931" s="13"/>
      <c r="G931" s="13"/>
      <c r="H931" s="13"/>
      <c r="I931" s="13"/>
      <c r="J931" s="15"/>
      <c r="K931" s="16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 spans="1:34" ht="13" x14ac:dyDescent="0.15">
      <c r="A932" s="12"/>
      <c r="B932" s="13"/>
      <c r="C932" s="13"/>
      <c r="D932" s="13"/>
      <c r="E932" s="12"/>
      <c r="F932" s="13"/>
      <c r="G932" s="13"/>
      <c r="H932" s="13"/>
      <c r="I932" s="13"/>
      <c r="J932" s="15"/>
      <c r="K932" s="16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 spans="1:34" ht="13" x14ac:dyDescent="0.15">
      <c r="A933" s="12"/>
      <c r="B933" s="13"/>
      <c r="C933" s="13"/>
      <c r="D933" s="13"/>
      <c r="E933" s="12"/>
      <c r="F933" s="13"/>
      <c r="G933" s="13"/>
      <c r="H933" s="13"/>
      <c r="I933" s="13"/>
      <c r="J933" s="15"/>
      <c r="K933" s="16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 spans="1:34" ht="13" x14ac:dyDescent="0.15">
      <c r="A934" s="12"/>
      <c r="B934" s="13"/>
      <c r="C934" s="13"/>
      <c r="D934" s="13"/>
      <c r="E934" s="12"/>
      <c r="F934" s="13"/>
      <c r="G934" s="13"/>
      <c r="H934" s="13"/>
      <c r="I934" s="13"/>
      <c r="J934" s="15"/>
      <c r="K934" s="16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 spans="1:34" ht="13" x14ac:dyDescent="0.15">
      <c r="A935" s="12"/>
      <c r="B935" s="13"/>
      <c r="C935" s="13"/>
      <c r="D935" s="13"/>
      <c r="E935" s="12"/>
      <c r="F935" s="13"/>
      <c r="G935" s="13"/>
      <c r="H935" s="13"/>
      <c r="I935" s="13"/>
      <c r="J935" s="15"/>
      <c r="K935" s="16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 spans="1:34" ht="13" x14ac:dyDescent="0.15">
      <c r="A936" s="12"/>
      <c r="B936" s="13"/>
      <c r="C936" s="13"/>
      <c r="D936" s="13"/>
      <c r="E936" s="12"/>
      <c r="F936" s="13"/>
      <c r="G936" s="13"/>
      <c r="H936" s="13"/>
      <c r="I936" s="13"/>
      <c r="J936" s="15"/>
      <c r="K936" s="16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 spans="1:34" ht="13" x14ac:dyDescent="0.15">
      <c r="A937" s="12"/>
      <c r="B937" s="13"/>
      <c r="C937" s="13"/>
      <c r="D937" s="13"/>
      <c r="E937" s="12"/>
      <c r="F937" s="13"/>
      <c r="G937" s="13"/>
      <c r="H937" s="13"/>
      <c r="I937" s="13"/>
      <c r="J937" s="15"/>
      <c r="K937" s="16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 spans="1:34" ht="13" x14ac:dyDescent="0.15">
      <c r="A938" s="12"/>
      <c r="B938" s="13"/>
      <c r="C938" s="13"/>
      <c r="D938" s="13"/>
      <c r="E938" s="12"/>
      <c r="F938" s="13"/>
      <c r="G938" s="13"/>
      <c r="H938" s="13"/>
      <c r="I938" s="13"/>
      <c r="J938" s="15"/>
      <c r="K938" s="16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 spans="1:34" ht="13" x14ac:dyDescent="0.15">
      <c r="A939" s="12"/>
      <c r="B939" s="13"/>
      <c r="C939" s="13"/>
      <c r="D939" s="13"/>
      <c r="E939" s="12"/>
      <c r="F939" s="13"/>
      <c r="G939" s="13"/>
      <c r="H939" s="13"/>
      <c r="I939" s="13"/>
      <c r="J939" s="15"/>
      <c r="K939" s="16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 spans="1:34" ht="13" x14ac:dyDescent="0.15">
      <c r="A940" s="12"/>
      <c r="B940" s="13"/>
      <c r="C940" s="13"/>
      <c r="D940" s="13"/>
      <c r="E940" s="12"/>
      <c r="F940" s="13"/>
      <c r="G940" s="13"/>
      <c r="H940" s="13"/>
      <c r="I940" s="13"/>
      <c r="J940" s="15"/>
      <c r="K940" s="16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 spans="1:34" ht="13" x14ac:dyDescent="0.15">
      <c r="A941" s="12"/>
      <c r="B941" s="13"/>
      <c r="C941" s="13"/>
      <c r="D941" s="13"/>
      <c r="E941" s="12"/>
      <c r="F941" s="13"/>
      <c r="G941" s="13"/>
      <c r="H941" s="13"/>
      <c r="I941" s="13"/>
      <c r="J941" s="15"/>
      <c r="K941" s="16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 spans="1:34" ht="13" x14ac:dyDescent="0.15">
      <c r="A942" s="12"/>
      <c r="B942" s="13"/>
      <c r="C942" s="13"/>
      <c r="D942" s="13"/>
      <c r="E942" s="12"/>
      <c r="F942" s="13"/>
      <c r="G942" s="13"/>
      <c r="H942" s="13"/>
      <c r="I942" s="13"/>
      <c r="J942" s="15"/>
      <c r="K942" s="16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 spans="1:34" ht="13" x14ac:dyDescent="0.15">
      <c r="A943" s="12"/>
      <c r="B943" s="13"/>
      <c r="C943" s="13"/>
      <c r="D943" s="13"/>
      <c r="E943" s="12"/>
      <c r="F943" s="13"/>
      <c r="G943" s="13"/>
      <c r="H943" s="13"/>
      <c r="I943" s="13"/>
      <c r="J943" s="15"/>
      <c r="K943" s="16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 spans="1:34" ht="13" x14ac:dyDescent="0.15">
      <c r="A944" s="12"/>
      <c r="B944" s="13"/>
      <c r="C944" s="13"/>
      <c r="D944" s="13"/>
      <c r="E944" s="12"/>
      <c r="F944" s="13"/>
      <c r="G944" s="13"/>
      <c r="H944" s="13"/>
      <c r="I944" s="13"/>
      <c r="J944" s="15"/>
      <c r="K944" s="16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 spans="1:34" ht="13" x14ac:dyDescent="0.15">
      <c r="A945" s="12"/>
      <c r="B945" s="13"/>
      <c r="C945" s="13"/>
      <c r="D945" s="13"/>
      <c r="E945" s="12"/>
      <c r="F945" s="13"/>
      <c r="G945" s="13"/>
      <c r="H945" s="13"/>
      <c r="I945" s="13"/>
      <c r="J945" s="15"/>
      <c r="K945" s="16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 spans="1:34" ht="13" x14ac:dyDescent="0.15">
      <c r="A946" s="12"/>
      <c r="B946" s="13"/>
      <c r="C946" s="13"/>
      <c r="D946" s="13"/>
      <c r="E946" s="12"/>
      <c r="F946" s="13"/>
      <c r="G946" s="13"/>
      <c r="H946" s="13"/>
      <c r="I946" s="13"/>
      <c r="J946" s="15"/>
      <c r="K946" s="16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 spans="1:34" ht="13" x14ac:dyDescent="0.15">
      <c r="A947" s="12"/>
      <c r="B947" s="13"/>
      <c r="C947" s="13"/>
      <c r="D947" s="13"/>
      <c r="E947" s="12"/>
      <c r="F947" s="13"/>
      <c r="G947" s="13"/>
      <c r="H947" s="13"/>
      <c r="I947" s="13"/>
      <c r="J947" s="15"/>
      <c r="K947" s="16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 spans="1:34" ht="13" x14ac:dyDescent="0.15">
      <c r="A948" s="12"/>
      <c r="B948" s="13"/>
      <c r="C948" s="13"/>
      <c r="D948" s="13"/>
      <c r="E948" s="12"/>
      <c r="F948" s="13"/>
      <c r="G948" s="13"/>
      <c r="H948" s="13"/>
      <c r="I948" s="13"/>
      <c r="J948" s="15"/>
      <c r="K948" s="16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 spans="1:34" ht="13" x14ac:dyDescent="0.15">
      <c r="A949" s="12"/>
      <c r="B949" s="13"/>
      <c r="C949" s="13"/>
      <c r="D949" s="13"/>
      <c r="E949" s="12"/>
      <c r="F949" s="13"/>
      <c r="G949" s="13"/>
      <c r="H949" s="13"/>
      <c r="I949" s="13"/>
      <c r="J949" s="15"/>
      <c r="K949" s="16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 spans="1:34" ht="13" x14ac:dyDescent="0.15">
      <c r="A950" s="12"/>
      <c r="B950" s="13"/>
      <c r="C950" s="13"/>
      <c r="D950" s="13"/>
      <c r="E950" s="12"/>
      <c r="F950" s="13"/>
      <c r="G950" s="13"/>
      <c r="H950" s="13"/>
      <c r="I950" s="13"/>
      <c r="J950" s="15"/>
      <c r="K950" s="16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 spans="1:34" ht="13" x14ac:dyDescent="0.15">
      <c r="A951" s="12"/>
      <c r="B951" s="13"/>
      <c r="C951" s="13"/>
      <c r="D951" s="13"/>
      <c r="E951" s="12"/>
      <c r="F951" s="13"/>
      <c r="G951" s="13"/>
      <c r="H951" s="13"/>
      <c r="I951" s="13"/>
      <c r="J951" s="15"/>
      <c r="K951" s="16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 spans="1:34" ht="13" x14ac:dyDescent="0.15">
      <c r="A952" s="12"/>
      <c r="B952" s="13"/>
      <c r="C952" s="13"/>
      <c r="D952" s="13"/>
      <c r="E952" s="12"/>
      <c r="F952" s="13"/>
      <c r="G952" s="13"/>
      <c r="H952" s="13"/>
      <c r="I952" s="13"/>
      <c r="J952" s="15"/>
      <c r="K952" s="16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 spans="1:34" ht="13" x14ac:dyDescent="0.15">
      <c r="A953" s="12"/>
      <c r="B953" s="13"/>
      <c r="C953" s="13"/>
      <c r="D953" s="13"/>
      <c r="E953" s="12"/>
      <c r="F953" s="13"/>
      <c r="G953" s="13"/>
      <c r="H953" s="13"/>
      <c r="I953" s="13"/>
      <c r="J953" s="15"/>
      <c r="K953" s="16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 spans="1:34" ht="13" x14ac:dyDescent="0.15">
      <c r="A954" s="12"/>
      <c r="B954" s="13"/>
      <c r="C954" s="13"/>
      <c r="D954" s="13"/>
      <c r="E954" s="12"/>
      <c r="F954" s="13"/>
      <c r="G954" s="13"/>
      <c r="H954" s="13"/>
      <c r="I954" s="13"/>
      <c r="J954" s="15"/>
      <c r="K954" s="16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 spans="1:34" ht="13" x14ac:dyDescent="0.15">
      <c r="A955" s="12"/>
      <c r="B955" s="13"/>
      <c r="C955" s="13"/>
      <c r="D955" s="13"/>
      <c r="E955" s="12"/>
      <c r="F955" s="13"/>
      <c r="G955" s="13"/>
      <c r="H955" s="13"/>
      <c r="I955" s="13"/>
      <c r="J955" s="15"/>
      <c r="K955" s="16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 spans="1:34" ht="13" x14ac:dyDescent="0.15">
      <c r="A956" s="12"/>
      <c r="B956" s="13"/>
      <c r="C956" s="13"/>
      <c r="D956" s="13"/>
      <c r="E956" s="12"/>
      <c r="F956" s="13"/>
      <c r="G956" s="13"/>
      <c r="H956" s="13"/>
      <c r="I956" s="13"/>
      <c r="J956" s="15"/>
      <c r="K956" s="16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 spans="1:34" ht="13" x14ac:dyDescent="0.15">
      <c r="A957" s="12"/>
      <c r="B957" s="13"/>
      <c r="C957" s="13"/>
      <c r="D957" s="13"/>
      <c r="E957" s="12"/>
      <c r="F957" s="13"/>
      <c r="G957" s="13"/>
      <c r="H957" s="13"/>
      <c r="I957" s="13"/>
      <c r="J957" s="15"/>
      <c r="K957" s="16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 spans="1:34" ht="13" x14ac:dyDescent="0.15">
      <c r="A958" s="12"/>
      <c r="B958" s="13"/>
      <c r="C958" s="13"/>
      <c r="D958" s="13"/>
      <c r="E958" s="12"/>
      <c r="F958" s="13"/>
      <c r="G958" s="13"/>
      <c r="H958" s="13"/>
      <c r="I958" s="13"/>
      <c r="J958" s="15"/>
      <c r="K958" s="16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 spans="1:34" ht="13" x14ac:dyDescent="0.15">
      <c r="A959" s="12"/>
      <c r="B959" s="13"/>
      <c r="C959" s="13"/>
      <c r="D959" s="13"/>
      <c r="E959" s="12"/>
      <c r="F959" s="13"/>
      <c r="G959" s="13"/>
      <c r="H959" s="13"/>
      <c r="I959" s="13"/>
      <c r="J959" s="15"/>
      <c r="K959" s="16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 spans="1:34" ht="13" x14ac:dyDescent="0.15">
      <c r="A960" s="12"/>
      <c r="B960" s="13"/>
      <c r="C960" s="13"/>
      <c r="D960" s="13"/>
      <c r="E960" s="12"/>
      <c r="F960" s="13"/>
      <c r="G960" s="13"/>
      <c r="H960" s="13"/>
      <c r="I960" s="13"/>
      <c r="J960" s="15"/>
      <c r="K960" s="16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 spans="1:34" ht="13" x14ac:dyDescent="0.15">
      <c r="A961" s="12"/>
      <c r="B961" s="13"/>
      <c r="C961" s="13"/>
      <c r="D961" s="13"/>
      <c r="E961" s="12"/>
      <c r="F961" s="13"/>
      <c r="G961" s="13"/>
      <c r="H961" s="13"/>
      <c r="I961" s="13"/>
      <c r="J961" s="15"/>
      <c r="K961" s="16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 spans="1:34" ht="13" x14ac:dyDescent="0.15">
      <c r="A962" s="12"/>
      <c r="B962" s="13"/>
      <c r="C962" s="13"/>
      <c r="D962" s="13"/>
      <c r="E962" s="12"/>
      <c r="F962" s="13"/>
      <c r="G962" s="13"/>
      <c r="H962" s="13"/>
      <c r="I962" s="13"/>
      <c r="J962" s="15"/>
      <c r="K962" s="16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 spans="1:34" ht="13" x14ac:dyDescent="0.15">
      <c r="A963" s="12"/>
      <c r="B963" s="13"/>
      <c r="C963" s="13"/>
      <c r="D963" s="13"/>
      <c r="E963" s="12"/>
      <c r="F963" s="13"/>
      <c r="G963" s="13"/>
      <c r="H963" s="13"/>
      <c r="I963" s="13"/>
      <c r="J963" s="15"/>
      <c r="K963" s="16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 spans="1:34" ht="13" x14ac:dyDescent="0.15">
      <c r="A964" s="12"/>
      <c r="B964" s="13"/>
      <c r="C964" s="13"/>
      <c r="D964" s="13"/>
      <c r="E964" s="12"/>
      <c r="F964" s="13"/>
      <c r="G964" s="13"/>
      <c r="H964" s="13"/>
      <c r="I964" s="13"/>
      <c r="J964" s="15"/>
      <c r="K964" s="16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 spans="1:34" ht="13" x14ac:dyDescent="0.15">
      <c r="A965" s="12"/>
      <c r="B965" s="13"/>
      <c r="C965" s="13"/>
      <c r="D965" s="13"/>
      <c r="E965" s="12"/>
      <c r="F965" s="13"/>
      <c r="G965" s="13"/>
      <c r="H965" s="13"/>
      <c r="I965" s="13"/>
      <c r="J965" s="15"/>
      <c r="K965" s="16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 spans="1:34" ht="13" x14ac:dyDescent="0.15">
      <c r="A966" s="12"/>
      <c r="B966" s="13"/>
      <c r="C966" s="13"/>
      <c r="D966" s="13"/>
      <c r="E966" s="12"/>
      <c r="F966" s="13"/>
      <c r="G966" s="13"/>
      <c r="H966" s="13"/>
      <c r="I966" s="13"/>
      <c r="J966" s="15"/>
      <c r="K966" s="16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 spans="1:34" ht="13" x14ac:dyDescent="0.15">
      <c r="A967" s="12"/>
      <c r="B967" s="13"/>
      <c r="C967" s="13"/>
      <c r="D967" s="13"/>
      <c r="E967" s="12"/>
      <c r="F967" s="13"/>
      <c r="G967" s="13"/>
      <c r="H967" s="13"/>
      <c r="I967" s="13"/>
      <c r="J967" s="15"/>
      <c r="K967" s="16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 spans="1:34" ht="13" x14ac:dyDescent="0.15">
      <c r="A968" s="12"/>
      <c r="B968" s="13"/>
      <c r="C968" s="13"/>
      <c r="D968" s="13"/>
      <c r="E968" s="12"/>
      <c r="F968" s="13"/>
      <c r="G968" s="13"/>
      <c r="H968" s="13"/>
      <c r="I968" s="13"/>
      <c r="J968" s="15"/>
      <c r="K968" s="16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 spans="1:34" ht="13" x14ac:dyDescent="0.15">
      <c r="A969" s="12"/>
      <c r="B969" s="13"/>
      <c r="C969" s="13"/>
      <c r="D969" s="13"/>
      <c r="E969" s="12"/>
      <c r="F969" s="13"/>
      <c r="G969" s="13"/>
      <c r="H969" s="13"/>
      <c r="I969" s="13"/>
      <c r="J969" s="15"/>
      <c r="K969" s="16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 spans="1:34" ht="13" x14ac:dyDescent="0.15">
      <c r="A970" s="12"/>
      <c r="B970" s="13"/>
      <c r="C970" s="13"/>
      <c r="D970" s="13"/>
      <c r="E970" s="12"/>
      <c r="F970" s="13"/>
      <c r="G970" s="13"/>
      <c r="H970" s="13"/>
      <c r="I970" s="13"/>
      <c r="J970" s="15"/>
      <c r="K970" s="16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 spans="1:34" ht="13" x14ac:dyDescent="0.15">
      <c r="A971" s="12"/>
      <c r="B971" s="13"/>
      <c r="C971" s="13"/>
      <c r="D971" s="13"/>
      <c r="E971" s="12"/>
      <c r="F971" s="13"/>
      <c r="G971" s="13"/>
      <c r="H971" s="13"/>
      <c r="I971" s="13"/>
      <c r="J971" s="15"/>
      <c r="K971" s="16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 spans="1:34" ht="13" x14ac:dyDescent="0.15">
      <c r="A972" s="12"/>
      <c r="B972" s="13"/>
      <c r="C972" s="13"/>
      <c r="D972" s="13"/>
      <c r="E972" s="12"/>
      <c r="F972" s="13"/>
      <c r="G972" s="13"/>
      <c r="H972" s="13"/>
      <c r="I972" s="13"/>
      <c r="J972" s="15"/>
      <c r="K972" s="16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 spans="1:34" ht="13" x14ac:dyDescent="0.15">
      <c r="A973" s="12"/>
      <c r="B973" s="13"/>
      <c r="C973" s="13"/>
      <c r="D973" s="13"/>
      <c r="E973" s="12"/>
      <c r="F973" s="13"/>
      <c r="G973" s="13"/>
      <c r="H973" s="13"/>
      <c r="I973" s="13"/>
      <c r="J973" s="15"/>
      <c r="K973" s="16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 spans="1:34" ht="13" x14ac:dyDescent="0.15">
      <c r="A974" s="12"/>
      <c r="B974" s="13"/>
      <c r="C974" s="13"/>
      <c r="D974" s="13"/>
      <c r="E974" s="12"/>
      <c r="F974" s="13"/>
      <c r="G974" s="13"/>
      <c r="H974" s="13"/>
      <c r="I974" s="13"/>
      <c r="J974" s="15"/>
      <c r="K974" s="16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 spans="1:34" ht="13" x14ac:dyDescent="0.15">
      <c r="A975" s="12"/>
      <c r="B975" s="13"/>
      <c r="C975" s="13"/>
      <c r="D975" s="13"/>
      <c r="E975" s="12"/>
      <c r="F975" s="13"/>
      <c r="G975" s="13"/>
      <c r="H975" s="13"/>
      <c r="I975" s="13"/>
      <c r="J975" s="15"/>
      <c r="K975" s="16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 spans="1:34" ht="13" x14ac:dyDescent="0.15">
      <c r="A976" s="12"/>
      <c r="B976" s="13"/>
      <c r="C976" s="13"/>
      <c r="D976" s="13"/>
      <c r="E976" s="12"/>
      <c r="F976" s="13"/>
      <c r="G976" s="13"/>
      <c r="H976" s="13"/>
      <c r="I976" s="13"/>
      <c r="J976" s="15"/>
      <c r="K976" s="16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 spans="1:34" ht="13" x14ac:dyDescent="0.15">
      <c r="A977" s="12"/>
      <c r="B977" s="13"/>
      <c r="C977" s="13"/>
      <c r="D977" s="13"/>
      <c r="E977" s="12"/>
      <c r="F977" s="13"/>
      <c r="G977" s="13"/>
      <c r="H977" s="13"/>
      <c r="I977" s="13"/>
      <c r="J977" s="15"/>
      <c r="K977" s="16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 spans="1:34" ht="13" x14ac:dyDescent="0.15">
      <c r="A978" s="12"/>
      <c r="B978" s="13"/>
      <c r="C978" s="13"/>
      <c r="D978" s="13"/>
      <c r="E978" s="12"/>
      <c r="F978" s="13"/>
      <c r="G978" s="13"/>
      <c r="H978" s="13"/>
      <c r="I978" s="13"/>
      <c r="J978" s="15"/>
      <c r="K978" s="16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 spans="1:34" ht="13" x14ac:dyDescent="0.15">
      <c r="A979" s="12"/>
      <c r="B979" s="13"/>
      <c r="C979" s="13"/>
      <c r="D979" s="13"/>
      <c r="E979" s="12"/>
      <c r="F979" s="13"/>
      <c r="G979" s="13"/>
      <c r="H979" s="13"/>
      <c r="I979" s="13"/>
      <c r="J979" s="15"/>
      <c r="K979" s="16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 spans="1:34" ht="13" x14ac:dyDescent="0.15">
      <c r="A980" s="12"/>
      <c r="B980" s="13"/>
      <c r="C980" s="13"/>
      <c r="D980" s="13"/>
      <c r="E980" s="12"/>
      <c r="F980" s="13"/>
      <c r="G980" s="13"/>
      <c r="H980" s="13"/>
      <c r="I980" s="13"/>
      <c r="J980" s="15"/>
      <c r="K980" s="16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 spans="1:34" ht="13" x14ac:dyDescent="0.15">
      <c r="A981" s="12"/>
      <c r="B981" s="13"/>
      <c r="C981" s="13"/>
      <c r="D981" s="13"/>
      <c r="E981" s="12"/>
      <c r="F981" s="13"/>
      <c r="G981" s="13"/>
      <c r="H981" s="13"/>
      <c r="I981" s="13"/>
      <c r="J981" s="15"/>
      <c r="K981" s="16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 spans="1:34" ht="13" x14ac:dyDescent="0.15">
      <c r="A982" s="12"/>
      <c r="B982" s="13"/>
      <c r="C982" s="13"/>
      <c r="D982" s="13"/>
      <c r="E982" s="12"/>
      <c r="F982" s="13"/>
      <c r="G982" s="13"/>
      <c r="H982" s="13"/>
      <c r="I982" s="13"/>
      <c r="J982" s="15"/>
      <c r="K982" s="16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 spans="1:34" ht="13" x14ac:dyDescent="0.15">
      <c r="A983" s="12"/>
      <c r="B983" s="13"/>
      <c r="C983" s="13"/>
      <c r="D983" s="13"/>
      <c r="E983" s="12"/>
      <c r="F983" s="13"/>
      <c r="G983" s="13"/>
      <c r="H983" s="13"/>
      <c r="I983" s="13"/>
      <c r="J983" s="15"/>
      <c r="K983" s="16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 spans="1:34" ht="13" x14ac:dyDescent="0.15">
      <c r="A984" s="12"/>
      <c r="B984" s="13"/>
      <c r="C984" s="13"/>
      <c r="D984" s="13"/>
      <c r="E984" s="12"/>
      <c r="F984" s="13"/>
      <c r="G984" s="13"/>
      <c r="H984" s="13"/>
      <c r="I984" s="13"/>
      <c r="J984" s="15"/>
      <c r="K984" s="16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 spans="1:34" ht="13" x14ac:dyDescent="0.15">
      <c r="A985" s="12"/>
      <c r="B985" s="13"/>
      <c r="C985" s="13"/>
      <c r="D985" s="13"/>
      <c r="E985" s="12"/>
      <c r="F985" s="13"/>
      <c r="G985" s="13"/>
      <c r="H985" s="13"/>
      <c r="I985" s="13"/>
      <c r="J985" s="15"/>
      <c r="K985" s="16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</sheetData>
  <mergeCells count="389">
    <mergeCell ref="A431:A433"/>
    <mergeCell ref="A436:A438"/>
    <mergeCell ref="A441:A443"/>
    <mergeCell ref="C409:C411"/>
    <mergeCell ref="C415:C417"/>
    <mergeCell ref="A420:A422"/>
    <mergeCell ref="C420:C422"/>
    <mergeCell ref="A425:A427"/>
    <mergeCell ref="C425:C427"/>
    <mergeCell ref="C431:C433"/>
    <mergeCell ref="A404:A406"/>
    <mergeCell ref="A409:A411"/>
    <mergeCell ref="A415:A417"/>
    <mergeCell ref="A388:A390"/>
    <mergeCell ref="C388:C390"/>
    <mergeCell ref="A394:A396"/>
    <mergeCell ref="C394:C396"/>
    <mergeCell ref="A399:A401"/>
    <mergeCell ref="C399:C401"/>
    <mergeCell ref="C404:C406"/>
    <mergeCell ref="B382:B384"/>
    <mergeCell ref="C382:C384"/>
    <mergeCell ref="A372:A374"/>
    <mergeCell ref="B372:B374"/>
    <mergeCell ref="C372:C374"/>
    <mergeCell ref="A377:A379"/>
    <mergeCell ref="B377:B379"/>
    <mergeCell ref="C377:C379"/>
    <mergeCell ref="A382:A384"/>
    <mergeCell ref="B366:B368"/>
    <mergeCell ref="C366:C368"/>
    <mergeCell ref="A355:A357"/>
    <mergeCell ref="B355:B357"/>
    <mergeCell ref="C355:C357"/>
    <mergeCell ref="A360:A362"/>
    <mergeCell ref="B360:B362"/>
    <mergeCell ref="C360:C362"/>
    <mergeCell ref="A366:A368"/>
    <mergeCell ref="B328:B330"/>
    <mergeCell ref="C328:C330"/>
    <mergeCell ref="A334:A336"/>
    <mergeCell ref="B349:B351"/>
    <mergeCell ref="C349:C351"/>
    <mergeCell ref="A339:A341"/>
    <mergeCell ref="B339:B341"/>
    <mergeCell ref="C339:C341"/>
    <mergeCell ref="A344:A346"/>
    <mergeCell ref="B344:B346"/>
    <mergeCell ref="C344:C346"/>
    <mergeCell ref="A349:A351"/>
    <mergeCell ref="A563:A565"/>
    <mergeCell ref="C563:C565"/>
    <mergeCell ref="A568:A570"/>
    <mergeCell ref="C568:C570"/>
    <mergeCell ref="B274:B276"/>
    <mergeCell ref="C274:C276"/>
    <mergeCell ref="A279:A281"/>
    <mergeCell ref="B279:B281"/>
    <mergeCell ref="C279:C281"/>
    <mergeCell ref="B285:B287"/>
    <mergeCell ref="C285:C287"/>
    <mergeCell ref="A285:A287"/>
    <mergeCell ref="A290:A292"/>
    <mergeCell ref="B290:B292"/>
    <mergeCell ref="C290:C292"/>
    <mergeCell ref="A295:A297"/>
    <mergeCell ref="B295:B297"/>
    <mergeCell ref="C295:C297"/>
    <mergeCell ref="B334:B336"/>
    <mergeCell ref="C334:C336"/>
    <mergeCell ref="A323:A325"/>
    <mergeCell ref="B323:B325"/>
    <mergeCell ref="C323:C325"/>
    <mergeCell ref="A328:A330"/>
    <mergeCell ref="B98:B99"/>
    <mergeCell ref="C98:C99"/>
    <mergeCell ref="A103:A104"/>
    <mergeCell ref="B103:B104"/>
    <mergeCell ref="C103:C104"/>
    <mergeCell ref="A108:A109"/>
    <mergeCell ref="B122:B123"/>
    <mergeCell ref="C122:C123"/>
    <mergeCell ref="A113:A114"/>
    <mergeCell ref="B113:B114"/>
    <mergeCell ref="C113:C114"/>
    <mergeCell ref="A118:A119"/>
    <mergeCell ref="B118:B119"/>
    <mergeCell ref="C118:C119"/>
    <mergeCell ref="A122:A123"/>
    <mergeCell ref="A547:A549"/>
    <mergeCell ref="A552:A554"/>
    <mergeCell ref="A558:A560"/>
    <mergeCell ref="C520:C522"/>
    <mergeCell ref="C526:C530"/>
    <mergeCell ref="A533:A537"/>
    <mergeCell ref="C533:C537"/>
    <mergeCell ref="A540:A544"/>
    <mergeCell ref="C540:C544"/>
    <mergeCell ref="C547:C549"/>
    <mergeCell ref="C552:C554"/>
    <mergeCell ref="C558:C560"/>
    <mergeCell ref="A515:A517"/>
    <mergeCell ref="A520:A522"/>
    <mergeCell ref="A526:A530"/>
    <mergeCell ref="C491:C493"/>
    <mergeCell ref="C498:C500"/>
    <mergeCell ref="A504:A506"/>
    <mergeCell ref="C504:C506"/>
    <mergeCell ref="A510:A512"/>
    <mergeCell ref="C510:C512"/>
    <mergeCell ref="C515:C517"/>
    <mergeCell ref="A486:A488"/>
    <mergeCell ref="A491:A493"/>
    <mergeCell ref="A498:A500"/>
    <mergeCell ref="C463:C465"/>
    <mergeCell ref="C469:C471"/>
    <mergeCell ref="A475:A477"/>
    <mergeCell ref="C475:C477"/>
    <mergeCell ref="A480:A482"/>
    <mergeCell ref="C480:C482"/>
    <mergeCell ref="C486:C488"/>
    <mergeCell ref="A457:A459"/>
    <mergeCell ref="A463:A465"/>
    <mergeCell ref="A469:A471"/>
    <mergeCell ref="C436:C438"/>
    <mergeCell ref="C441:C443"/>
    <mergeCell ref="A446:A448"/>
    <mergeCell ref="C446:C448"/>
    <mergeCell ref="A451:A453"/>
    <mergeCell ref="C451:C453"/>
    <mergeCell ref="C457:C459"/>
    <mergeCell ref="B317:B319"/>
    <mergeCell ref="C317:C319"/>
    <mergeCell ref="A304:A306"/>
    <mergeCell ref="B304:B306"/>
    <mergeCell ref="C304:C306"/>
    <mergeCell ref="A309:A313"/>
    <mergeCell ref="B309:B313"/>
    <mergeCell ref="C309:C313"/>
    <mergeCell ref="A317:A319"/>
    <mergeCell ref="A274:A276"/>
    <mergeCell ref="A264:A265"/>
    <mergeCell ref="B264:B265"/>
    <mergeCell ref="C264:C265"/>
    <mergeCell ref="A268:A270"/>
    <mergeCell ref="B268:B270"/>
    <mergeCell ref="C268:C270"/>
    <mergeCell ref="B260:B261"/>
    <mergeCell ref="C260:C261"/>
    <mergeCell ref="A251:A252"/>
    <mergeCell ref="B251:B252"/>
    <mergeCell ref="C251:C252"/>
    <mergeCell ref="A255:A256"/>
    <mergeCell ref="B255:B256"/>
    <mergeCell ref="C255:C256"/>
    <mergeCell ref="A260:A261"/>
    <mergeCell ref="C225:C226"/>
    <mergeCell ref="A229:A230"/>
    <mergeCell ref="B229:B230"/>
    <mergeCell ref="C229:C230"/>
    <mergeCell ref="A233:A234"/>
    <mergeCell ref="B247:B248"/>
    <mergeCell ref="C247:C248"/>
    <mergeCell ref="A238:A239"/>
    <mergeCell ref="B238:B239"/>
    <mergeCell ref="C238:C239"/>
    <mergeCell ref="A242:A243"/>
    <mergeCell ref="B242:B243"/>
    <mergeCell ref="C242:C243"/>
    <mergeCell ref="A247:A248"/>
    <mergeCell ref="G330:I330"/>
    <mergeCell ref="G336:I336"/>
    <mergeCell ref="B204:B205"/>
    <mergeCell ref="C204:C205"/>
    <mergeCell ref="A194:A195"/>
    <mergeCell ref="B194:B195"/>
    <mergeCell ref="C194:C195"/>
    <mergeCell ref="A199:A200"/>
    <mergeCell ref="B199:B200"/>
    <mergeCell ref="C199:C200"/>
    <mergeCell ref="A204:A205"/>
    <mergeCell ref="B220:B221"/>
    <mergeCell ref="C220:C221"/>
    <mergeCell ref="A209:A210"/>
    <mergeCell ref="B209:B210"/>
    <mergeCell ref="C209:C210"/>
    <mergeCell ref="A214:A215"/>
    <mergeCell ref="B214:B215"/>
    <mergeCell ref="C214:C215"/>
    <mergeCell ref="A220:A221"/>
    <mergeCell ref="B233:B234"/>
    <mergeCell ref="C233:C234"/>
    <mergeCell ref="A225:A226"/>
    <mergeCell ref="B225:B226"/>
    <mergeCell ref="G276:I276"/>
    <mergeCell ref="G281:I281"/>
    <mergeCell ref="G287:I287"/>
    <mergeCell ref="G292:I292"/>
    <mergeCell ref="G300:I300"/>
    <mergeCell ref="G306:I306"/>
    <mergeCell ref="G313:I313"/>
    <mergeCell ref="G319:I319"/>
    <mergeCell ref="G325:I325"/>
    <mergeCell ref="G239:I239"/>
    <mergeCell ref="G243:I243"/>
    <mergeCell ref="G248:I248"/>
    <mergeCell ref="G252:I252"/>
    <mergeCell ref="G256:I256"/>
    <mergeCell ref="G261:I261"/>
    <mergeCell ref="G265:I265"/>
    <mergeCell ref="G270:I270"/>
    <mergeCell ref="G195:I195"/>
    <mergeCell ref="G200:I200"/>
    <mergeCell ref="G205:I205"/>
    <mergeCell ref="G210:I210"/>
    <mergeCell ref="G215:I215"/>
    <mergeCell ref="G221:I221"/>
    <mergeCell ref="G226:I226"/>
    <mergeCell ref="G230:I230"/>
    <mergeCell ref="G234:I234"/>
    <mergeCell ref="G154:I154"/>
    <mergeCell ref="G158:I158"/>
    <mergeCell ref="G163:I163"/>
    <mergeCell ref="G167:I167"/>
    <mergeCell ref="G172:I172"/>
    <mergeCell ref="G177:I177"/>
    <mergeCell ref="G181:I181"/>
    <mergeCell ref="G186:I186"/>
    <mergeCell ref="G191:I191"/>
    <mergeCell ref="G488:I488"/>
    <mergeCell ref="G537:I537"/>
    <mergeCell ref="G544:I544"/>
    <mergeCell ref="G549:I549"/>
    <mergeCell ref="G554:I554"/>
    <mergeCell ref="G560:I560"/>
    <mergeCell ref="G565:I565"/>
    <mergeCell ref="G570:I570"/>
    <mergeCell ref="G493:I493"/>
    <mergeCell ref="G500:I500"/>
    <mergeCell ref="G506:I506"/>
    <mergeCell ref="G512:I512"/>
    <mergeCell ref="G517:I517"/>
    <mergeCell ref="G522:I522"/>
    <mergeCell ref="G530:I530"/>
    <mergeCell ref="G438:I438"/>
    <mergeCell ref="G443:I443"/>
    <mergeCell ref="G448:I448"/>
    <mergeCell ref="G453:I453"/>
    <mergeCell ref="G459:I459"/>
    <mergeCell ref="G465:I465"/>
    <mergeCell ref="G471:I471"/>
    <mergeCell ref="G477:I477"/>
    <mergeCell ref="G482:I482"/>
    <mergeCell ref="G390:I390"/>
    <mergeCell ref="G396:I396"/>
    <mergeCell ref="G401:I401"/>
    <mergeCell ref="G406:I406"/>
    <mergeCell ref="G411:I411"/>
    <mergeCell ref="G417:I417"/>
    <mergeCell ref="G422:I422"/>
    <mergeCell ref="G427:I427"/>
    <mergeCell ref="G433:I433"/>
    <mergeCell ref="G341:I341"/>
    <mergeCell ref="G346:I346"/>
    <mergeCell ref="G351:I351"/>
    <mergeCell ref="G357:I357"/>
    <mergeCell ref="G362:I362"/>
    <mergeCell ref="G368:I368"/>
    <mergeCell ref="G374:I374"/>
    <mergeCell ref="G379:I379"/>
    <mergeCell ref="G384:I384"/>
    <mergeCell ref="B190:B191"/>
    <mergeCell ref="C190:C191"/>
    <mergeCell ref="A180:A181"/>
    <mergeCell ref="B180:B181"/>
    <mergeCell ref="C180:C181"/>
    <mergeCell ref="A185:A186"/>
    <mergeCell ref="B185:B186"/>
    <mergeCell ref="C185:C186"/>
    <mergeCell ref="A190:A191"/>
    <mergeCell ref="B176:B177"/>
    <mergeCell ref="C176:C177"/>
    <mergeCell ref="A166:A167"/>
    <mergeCell ref="B166:B167"/>
    <mergeCell ref="C166:C167"/>
    <mergeCell ref="A171:A172"/>
    <mergeCell ref="B171:B172"/>
    <mergeCell ref="C171:C172"/>
    <mergeCell ref="A176:A177"/>
    <mergeCell ref="B162:B163"/>
    <mergeCell ref="C162:C163"/>
    <mergeCell ref="A153:A154"/>
    <mergeCell ref="B153:B154"/>
    <mergeCell ref="C153:C154"/>
    <mergeCell ref="A157:A158"/>
    <mergeCell ref="B157:B158"/>
    <mergeCell ref="C157:C158"/>
    <mergeCell ref="A162:A163"/>
    <mergeCell ref="G99:I99"/>
    <mergeCell ref="B149:B150"/>
    <mergeCell ref="C149:C150"/>
    <mergeCell ref="A140:A141"/>
    <mergeCell ref="B140:B141"/>
    <mergeCell ref="C140:C141"/>
    <mergeCell ref="A144:A145"/>
    <mergeCell ref="B144:B145"/>
    <mergeCell ref="C144:C145"/>
    <mergeCell ref="A149:A150"/>
    <mergeCell ref="G104:I104"/>
    <mergeCell ref="G109:I109"/>
    <mergeCell ref="G114:I114"/>
    <mergeCell ref="G119:I119"/>
    <mergeCell ref="G123:I123"/>
    <mergeCell ref="G128:I128"/>
    <mergeCell ref="G132:I132"/>
    <mergeCell ref="G136:I136"/>
    <mergeCell ref="G141:I141"/>
    <mergeCell ref="G145:I145"/>
    <mergeCell ref="G150:I150"/>
    <mergeCell ref="B108:B109"/>
    <mergeCell ref="C108:C109"/>
    <mergeCell ref="A98:A99"/>
    <mergeCell ref="A72:A74"/>
    <mergeCell ref="C72:C73"/>
    <mergeCell ref="G73:I73"/>
    <mergeCell ref="G77:I77"/>
    <mergeCell ref="G81:I81"/>
    <mergeCell ref="G86:I86"/>
    <mergeCell ref="P89:P91"/>
    <mergeCell ref="G90:I90"/>
    <mergeCell ref="G94:I94"/>
    <mergeCell ref="B72:B73"/>
    <mergeCell ref="B76:B77"/>
    <mergeCell ref="C76:C77"/>
    <mergeCell ref="B80:B81"/>
    <mergeCell ref="C80:C81"/>
    <mergeCell ref="B85:B86"/>
    <mergeCell ref="C85:C86"/>
    <mergeCell ref="A85:A87"/>
    <mergeCell ref="A89:A90"/>
    <mergeCell ref="B89:B90"/>
    <mergeCell ref="C89:C90"/>
    <mergeCell ref="A93:A94"/>
    <mergeCell ref="B93:B94"/>
    <mergeCell ref="C93:C94"/>
    <mergeCell ref="B60:B61"/>
    <mergeCell ref="C60:C61"/>
    <mergeCell ref="P60:P62"/>
    <mergeCell ref="G61:I61"/>
    <mergeCell ref="C64:C65"/>
    <mergeCell ref="P64:P66"/>
    <mergeCell ref="G65:I65"/>
    <mergeCell ref="B64:B65"/>
    <mergeCell ref="B68:B69"/>
    <mergeCell ref="C68:C69"/>
    <mergeCell ref="G69:I69"/>
    <mergeCell ref="B56:B57"/>
    <mergeCell ref="C56:C57"/>
    <mergeCell ref="P56:P58"/>
    <mergeCell ref="G57:I57"/>
    <mergeCell ref="C26:C27"/>
    <mergeCell ref="C30:C31"/>
    <mergeCell ref="C34:C35"/>
    <mergeCell ref="C39:C40"/>
    <mergeCell ref="C43:C44"/>
    <mergeCell ref="C47:C48"/>
    <mergeCell ref="C51:C52"/>
    <mergeCell ref="G31:I31"/>
    <mergeCell ref="G35:I35"/>
    <mergeCell ref="G40:I40"/>
    <mergeCell ref="G44:I44"/>
    <mergeCell ref="G48:I48"/>
    <mergeCell ref="G52:I52"/>
    <mergeCell ref="C14:C15"/>
    <mergeCell ref="G15:I15"/>
    <mergeCell ref="C18:C19"/>
    <mergeCell ref="G19:I19"/>
    <mergeCell ref="C22:C23"/>
    <mergeCell ref="G23:I23"/>
    <mergeCell ref="G27:I27"/>
    <mergeCell ref="B135:B136"/>
    <mergeCell ref="C135:C136"/>
    <mergeCell ref="A127:A128"/>
    <mergeCell ref="B127:B128"/>
    <mergeCell ref="C127:C128"/>
    <mergeCell ref="A131:A132"/>
    <mergeCell ref="B131:B132"/>
    <mergeCell ref="C131:C132"/>
    <mergeCell ref="A135:A1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ITM 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 Kai Hao, Dylan</cp:lastModifiedBy>
  <dcterms:modified xsi:type="dcterms:W3CDTF">2026-07-14T13:34:56Z</dcterms:modified>
</cp:coreProperties>
</file>